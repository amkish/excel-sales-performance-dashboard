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mkish/Desktop/UK JOBS/UPWORK/Portfolio/"/>
    </mc:Choice>
  </mc:AlternateContent>
  <xr:revisionPtr revIDLastSave="0" documentId="13_ncr:1_{13769BD1-7527-3E47-A143-26C178B18B81}" xr6:coauthVersionLast="47" xr6:coauthVersionMax="47" xr10:uidLastSave="{00000000-0000-0000-0000-000000000000}"/>
  <bookViews>
    <workbookView xWindow="0" yWindow="0" windowWidth="33600" windowHeight="21000" activeTab="5" xr2:uid="{00000000-000D-0000-FFFF-FFFF00000000}"/>
  </bookViews>
  <sheets>
    <sheet name="2025" sheetId="1" r:id="rId1"/>
    <sheet name="clean_weekly_data" sheetId="4" r:id="rId2"/>
    <sheet name="clean_monthly_summary" sheetId="5" r:id="rId3"/>
    <sheet name="daily_sales_helper" sheetId="6" r:id="rId4"/>
    <sheet name="dashboard" sheetId="7" r:id="rId5"/>
    <sheet name="analaysis_summary" sheetId="19" r:id="rId6"/>
    <sheet name="Weekly Rating" sheetId="3" state="hidden" r:id="rId7"/>
  </sheets>
  <definedNames>
    <definedName name="_xlchart.v1.0" hidden="1">dashboard!$AG$4:$AG$17</definedName>
    <definedName name="_xlchart.v1.1" hidden="1">dashboard!$AJ$3</definedName>
    <definedName name="_xlchart.v1.10" hidden="1">dashboard!$AJ$3</definedName>
    <definedName name="_xlchart.v1.11" hidden="1">dashboard!$AJ$4:$AJ$17</definedName>
    <definedName name="_xlchart.v1.12" hidden="1">dashboard!$AG$4:$AG$17</definedName>
    <definedName name="_xlchart.v1.13" hidden="1">dashboard!$AJ$3</definedName>
    <definedName name="_xlchart.v1.14" hidden="1">dashboard!$AJ$4:$AJ$17</definedName>
    <definedName name="_xlchart.v1.15" hidden="1">dashboard!$AG$4:$AG$17</definedName>
    <definedName name="_xlchart.v1.16" hidden="1">dashboard!$AJ$3</definedName>
    <definedName name="_xlchart.v1.17" hidden="1">dashboard!$AJ$4:$AJ$17</definedName>
    <definedName name="_xlchart.v1.18" hidden="1">dashboard!$AG$23:$AG$29</definedName>
    <definedName name="_xlchart.v1.19" hidden="1">dashboard!$AH$22</definedName>
    <definedName name="_xlchart.v1.2" hidden="1">dashboard!$AJ$4:$AJ$17</definedName>
    <definedName name="_xlchart.v1.20" hidden="1">dashboard!$AH$23:$AH$29</definedName>
    <definedName name="_xlchart.v1.21" hidden="1">dashboard!$AG$4:$AG$17</definedName>
    <definedName name="_xlchart.v1.22" hidden="1">dashboard!$AJ$3</definedName>
    <definedName name="_xlchart.v1.23" hidden="1">dashboard!$AJ$4:$AJ$17</definedName>
    <definedName name="_xlchart.v1.24" hidden="1">dashboard!$AG$23:$AG$29</definedName>
    <definedName name="_xlchart.v1.25" hidden="1">dashboard!$AH$22</definedName>
    <definedName name="_xlchart.v1.26" hidden="1">dashboard!$AH$23:$AH$29</definedName>
    <definedName name="_xlchart.v1.3" hidden="1">dashboard!$AG$23:$AG$29</definedName>
    <definedName name="_xlchart.v1.4" hidden="1">dashboard!$AH$22</definedName>
    <definedName name="_xlchart.v1.5" hidden="1">dashboard!$AH$23:$AH$29</definedName>
    <definedName name="_xlchart.v1.6" hidden="1">dashboard!$AG$23:$AG$29</definedName>
    <definedName name="_xlchart.v1.7" hidden="1">dashboard!$AH$22</definedName>
    <definedName name="_xlchart.v1.8" hidden="1">dashboard!$AH$23:$AH$29</definedName>
    <definedName name="_xlchart.v1.9" hidden="1">dashboard!$AG$4:$AG$17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5" l="1"/>
  <c r="H2" i="5"/>
  <c r="H3" i="5"/>
  <c r="H4" i="5"/>
  <c r="H5" i="5"/>
  <c r="H6" i="5"/>
  <c r="H7" i="5"/>
  <c r="H8" i="5"/>
  <c r="H9" i="5"/>
  <c r="H10" i="5"/>
  <c r="H11" i="5"/>
  <c r="H12" i="5"/>
  <c r="H13" i="5"/>
  <c r="H14" i="5"/>
  <c r="H15" i="5"/>
  <c r="H16" i="5"/>
  <c r="G3" i="5"/>
  <c r="G4" i="5"/>
  <c r="G5" i="5"/>
  <c r="G6" i="5"/>
  <c r="G7" i="5"/>
  <c r="G8" i="5"/>
  <c r="G9" i="5"/>
  <c r="G10" i="5"/>
  <c r="G11" i="5"/>
  <c r="G12" i="5"/>
  <c r="G13" i="5"/>
  <c r="G14" i="5"/>
  <c r="G15" i="5"/>
  <c r="G16" i="5"/>
  <c r="AH24" i="7"/>
  <c r="AH25" i="7"/>
  <c r="AH26" i="7"/>
  <c r="AH27" i="7"/>
  <c r="AH28" i="7"/>
  <c r="AH29" i="7"/>
  <c r="AH23" i="7"/>
  <c r="AI4" i="7"/>
  <c r="AG4" i="7"/>
  <c r="AG6" i="7"/>
  <c r="AG5" i="7"/>
  <c r="AG7" i="7"/>
  <c r="AG8" i="7"/>
  <c r="AG9" i="7"/>
  <c r="AG10" i="7"/>
  <c r="AG11" i="7"/>
  <c r="AG12" i="7"/>
  <c r="AG13" i="7"/>
  <c r="AG14" i="7"/>
  <c r="AG15" i="7"/>
  <c r="AG16" i="7"/>
  <c r="AG17" i="7"/>
  <c r="AI5" i="7"/>
  <c r="AI6" i="7"/>
  <c r="AI7" i="7"/>
  <c r="AI8" i="7"/>
  <c r="AI9" i="7"/>
  <c r="AI10" i="7"/>
  <c r="AI11" i="7"/>
  <c r="AI12" i="7"/>
  <c r="AI13" i="7"/>
  <c r="AI14" i="7"/>
  <c r="AI15" i="7"/>
  <c r="AI16" i="7"/>
  <c r="AI17" i="7"/>
  <c r="D16" i="5"/>
  <c r="B5" i="5"/>
  <c r="C5" i="5" s="1"/>
  <c r="B6" i="5"/>
  <c r="C6" i="5" s="1"/>
  <c r="B7" i="5"/>
  <c r="C7" i="5" s="1"/>
  <c r="B8" i="5"/>
  <c r="E8" i="5" s="1"/>
  <c r="AJ10" i="7" s="1"/>
  <c r="B9" i="5"/>
  <c r="E9" i="5" s="1"/>
  <c r="AJ11" i="7" s="1"/>
  <c r="B10" i="5"/>
  <c r="E10" i="5" s="1"/>
  <c r="AJ12" i="7" s="1"/>
  <c r="B11" i="5"/>
  <c r="C11" i="5" s="1"/>
  <c r="B12" i="5"/>
  <c r="C12" i="5" s="1"/>
  <c r="B13" i="5"/>
  <c r="C13" i="5" s="1"/>
  <c r="B14" i="5"/>
  <c r="C14" i="5" s="1"/>
  <c r="B15" i="5"/>
  <c r="E15" i="5" s="1"/>
  <c r="AJ17" i="7" s="1"/>
  <c r="B3" i="5"/>
  <c r="C3" i="5" s="1"/>
  <c r="B4" i="5"/>
  <c r="C4" i="5" s="1"/>
  <c r="B2" i="5"/>
  <c r="E2" i="5" s="1"/>
  <c r="AJ4" i="7" s="1"/>
  <c r="D441" i="6"/>
  <c r="D442"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A315" i="6" a="1"/>
  <c r="A315" i="6"/>
  <c r="A316" i="6" a="1"/>
  <c r="A316" i="6" s="1"/>
  <c r="A317" i="6" a="1"/>
  <c r="A317" i="6" s="1"/>
  <c r="A318" i="6" a="1"/>
  <c r="A318" i="6"/>
  <c r="A319" i="6" a="1"/>
  <c r="A319" i="6" s="1"/>
  <c r="A320" i="6" a="1"/>
  <c r="A320" i="6" s="1"/>
  <c r="A321" i="6" a="1"/>
  <c r="A321" i="6" s="1"/>
  <c r="A322" i="6" a="1"/>
  <c r="A322" i="6"/>
  <c r="A323" i="6" a="1"/>
  <c r="A323" i="6" s="1"/>
  <c r="A324" i="6" a="1"/>
  <c r="A324" i="6" s="1"/>
  <c r="A325" i="6" a="1"/>
  <c r="A325" i="6" s="1"/>
  <c r="A326" i="6" a="1"/>
  <c r="A326" i="6"/>
  <c r="A327" i="6" a="1"/>
  <c r="A327" i="6" s="1"/>
  <c r="A328" i="6" a="1"/>
  <c r="A328" i="6" s="1"/>
  <c r="A329" i="6" a="1"/>
  <c r="A329" i="6" s="1"/>
  <c r="A330" i="6" a="1"/>
  <c r="A330" i="6"/>
  <c r="A331" i="6" a="1"/>
  <c r="A331" i="6" s="1"/>
  <c r="A332" i="6" a="1"/>
  <c r="A332" i="6" s="1"/>
  <c r="A333" i="6" a="1"/>
  <c r="A333" i="6" s="1"/>
  <c r="A334" i="6" a="1"/>
  <c r="A334" i="6"/>
  <c r="A335" i="6" a="1"/>
  <c r="A335" i="6" s="1"/>
  <c r="A336" i="6" a="1"/>
  <c r="A336" i="6" s="1"/>
  <c r="A337" i="6" a="1"/>
  <c r="A337" i="6" s="1"/>
  <c r="A338" i="6" a="1"/>
  <c r="A338" i="6"/>
  <c r="A339" i="6" a="1"/>
  <c r="A339" i="6" s="1"/>
  <c r="A340" i="6" a="1"/>
  <c r="A340" i="6" s="1"/>
  <c r="A341" i="6" a="1"/>
  <c r="A341" i="6" s="1"/>
  <c r="A342" i="6" a="1"/>
  <c r="A342" i="6"/>
  <c r="A343" i="6" a="1"/>
  <c r="A343" i="6" s="1"/>
  <c r="A344" i="6" a="1"/>
  <c r="A344" i="6" s="1"/>
  <c r="A345" i="6" a="1"/>
  <c r="A345" i="6" s="1"/>
  <c r="A346" i="6" a="1"/>
  <c r="A346" i="6"/>
  <c r="A347" i="6" a="1"/>
  <c r="A347" i="6" s="1"/>
  <c r="A348" i="6" a="1"/>
  <c r="A348" i="6" s="1"/>
  <c r="A349" i="6" a="1"/>
  <c r="A349" i="6" s="1"/>
  <c r="A350" i="6" a="1"/>
  <c r="A350" i="6"/>
  <c r="A351" i="6" a="1"/>
  <c r="A351" i="6" s="1"/>
  <c r="A352" i="6" a="1"/>
  <c r="A352" i="6" s="1"/>
  <c r="A353" i="6" a="1"/>
  <c r="A353" i="6" s="1"/>
  <c r="A354" i="6" a="1"/>
  <c r="A354" i="6"/>
  <c r="A355" i="6" a="1"/>
  <c r="A355" i="6" s="1"/>
  <c r="A356" i="6" a="1"/>
  <c r="A356" i="6" s="1"/>
  <c r="A357" i="6" a="1"/>
  <c r="A357" i="6" s="1"/>
  <c r="A358" i="6" a="1"/>
  <c r="A358" i="6"/>
  <c r="A359" i="6" a="1"/>
  <c r="A359" i="6" s="1"/>
  <c r="A360" i="6" a="1"/>
  <c r="A360" i="6" s="1"/>
  <c r="A361" i="6" a="1"/>
  <c r="A361" i="6" s="1"/>
  <c r="A362" i="6" a="1"/>
  <c r="A362" i="6"/>
  <c r="A363" i="6" a="1"/>
  <c r="A363" i="6" s="1"/>
  <c r="A364" i="6" a="1"/>
  <c r="A364" i="6" s="1"/>
  <c r="A365" i="6" a="1"/>
  <c r="A365" i="6" s="1"/>
  <c r="A366" i="6" a="1"/>
  <c r="A366" i="6"/>
  <c r="A367" i="6" a="1"/>
  <c r="A367" i="6" s="1"/>
  <c r="A368" i="6" a="1"/>
  <c r="A368" i="6" s="1"/>
  <c r="A369" i="6" a="1"/>
  <c r="A369" i="6" s="1"/>
  <c r="A370" i="6" a="1"/>
  <c r="A370" i="6"/>
  <c r="A371" i="6" a="1"/>
  <c r="A371" i="6" s="1"/>
  <c r="A372" i="6" a="1"/>
  <c r="A372" i="6" s="1"/>
  <c r="A373" i="6" a="1"/>
  <c r="A373" i="6" s="1"/>
  <c r="A374" i="6" a="1"/>
  <c r="A374" i="6"/>
  <c r="A375" i="6" a="1"/>
  <c r="A375" i="6" s="1"/>
  <c r="A376" i="6" a="1"/>
  <c r="A376" i="6" s="1"/>
  <c r="A377" i="6" a="1"/>
  <c r="A377" i="6" s="1"/>
  <c r="A378" i="6" a="1"/>
  <c r="A378" i="6"/>
  <c r="A379" i="6" a="1"/>
  <c r="A379" i="6" s="1"/>
  <c r="A380" i="6" a="1"/>
  <c r="A380" i="6" s="1"/>
  <c r="A381" i="6" a="1"/>
  <c r="A381" i="6" s="1"/>
  <c r="A382" i="6" a="1"/>
  <c r="A382" i="6"/>
  <c r="A383" i="6" a="1"/>
  <c r="A383" i="6" s="1"/>
  <c r="A384" i="6" a="1"/>
  <c r="A384" i="6" s="1"/>
  <c r="A385" i="6" a="1"/>
  <c r="A385" i="6" s="1"/>
  <c r="A386" i="6" a="1"/>
  <c r="A386" i="6"/>
  <c r="A387" i="6" a="1"/>
  <c r="A387" i="6" s="1"/>
  <c r="A388" i="6" a="1"/>
  <c r="A388" i="6" s="1"/>
  <c r="A389" i="6" a="1"/>
  <c r="A389" i="6" s="1"/>
  <c r="A390" i="6" a="1"/>
  <c r="A390" i="6"/>
  <c r="A391" i="6" a="1"/>
  <c r="A391" i="6" s="1"/>
  <c r="A392" i="6" a="1"/>
  <c r="A392" i="6" s="1"/>
  <c r="A393" i="6" a="1"/>
  <c r="A393" i="6" s="1"/>
  <c r="A394" i="6" a="1"/>
  <c r="A394" i="6"/>
  <c r="A395" i="6" a="1"/>
  <c r="A395" i="6" s="1"/>
  <c r="A396" i="6" a="1"/>
  <c r="A396" i="6" s="1"/>
  <c r="A397" i="6" a="1"/>
  <c r="A397" i="6" s="1"/>
  <c r="A398" i="6" a="1"/>
  <c r="A398" i="6"/>
  <c r="A399" i="6" a="1"/>
  <c r="A399" i="6" s="1"/>
  <c r="A400" i="6" a="1"/>
  <c r="A400" i="6" s="1"/>
  <c r="A401" i="6" a="1"/>
  <c r="A401" i="6" s="1"/>
  <c r="A402" i="6" a="1"/>
  <c r="A402" i="6"/>
  <c r="A403" i="6" a="1"/>
  <c r="A403" i="6" s="1"/>
  <c r="A404" i="6" a="1"/>
  <c r="A404" i="6" s="1"/>
  <c r="A405" i="6" a="1"/>
  <c r="A405" i="6" s="1"/>
  <c r="A406" i="6" a="1"/>
  <c r="A406" i="6"/>
  <c r="A407" i="6" a="1"/>
  <c r="A407" i="6" s="1"/>
  <c r="A408" i="6" a="1"/>
  <c r="A408" i="6" s="1"/>
  <c r="A409" i="6" a="1"/>
  <c r="A409" i="6" s="1"/>
  <c r="A410" i="6" a="1"/>
  <c r="A410" i="6"/>
  <c r="A411" i="6" a="1"/>
  <c r="A411" i="6" s="1"/>
  <c r="A412" i="6" a="1"/>
  <c r="A412" i="6" s="1"/>
  <c r="A413" i="6" a="1"/>
  <c r="A413" i="6" s="1"/>
  <c r="A414" i="6" a="1"/>
  <c r="A414" i="6"/>
  <c r="A415" i="6" a="1"/>
  <c r="A415" i="6" s="1"/>
  <c r="A416" i="6" a="1"/>
  <c r="A416" i="6" s="1"/>
  <c r="A417" i="6" a="1"/>
  <c r="A417" i="6" s="1"/>
  <c r="A418" i="6" a="1"/>
  <c r="A418" i="6"/>
  <c r="A419" i="6" a="1"/>
  <c r="A419" i="6" s="1"/>
  <c r="A420" i="6" a="1"/>
  <c r="A420" i="6" s="1"/>
  <c r="A421" i="6" a="1"/>
  <c r="A421" i="6" s="1"/>
  <c r="A422" i="6" a="1"/>
  <c r="A422" i="6"/>
  <c r="A423" i="6" a="1"/>
  <c r="A423" i="6" s="1"/>
  <c r="A424" i="6" a="1"/>
  <c r="A424" i="6" s="1"/>
  <c r="A425" i="6" a="1"/>
  <c r="A425" i="6" s="1"/>
  <c r="A426" i="6" a="1"/>
  <c r="A426" i="6"/>
  <c r="A427" i="6" a="1"/>
  <c r="A427" i="6" s="1"/>
  <c r="A428" i="6" a="1"/>
  <c r="A428" i="6" s="1"/>
  <c r="A429" i="6" a="1"/>
  <c r="A429" i="6" s="1"/>
  <c r="A430" i="6" a="1"/>
  <c r="A430" i="6"/>
  <c r="A431" i="6" a="1"/>
  <c r="A431" i="6" s="1"/>
  <c r="A432" i="6" a="1"/>
  <c r="A432" i="6" s="1"/>
  <c r="A433" i="6" a="1"/>
  <c r="A433" i="6" s="1"/>
  <c r="A434" i="6" a="1"/>
  <c r="A434" i="6"/>
  <c r="A435" i="6" a="1"/>
  <c r="A435" i="6" s="1"/>
  <c r="A436" i="6" a="1"/>
  <c r="A436" i="6" s="1"/>
  <c r="A437" i="6" a="1"/>
  <c r="A437" i="6" s="1"/>
  <c r="A438" i="6" a="1"/>
  <c r="A438" i="6"/>
  <c r="A439" i="6" a="1"/>
  <c r="A439" i="6" s="1"/>
  <c r="A440" i="6" a="1"/>
  <c r="A440" i="6" s="1"/>
  <c r="A441" i="6" a="1"/>
  <c r="A441" i="6" s="1"/>
  <c r="A442" i="6" a="1"/>
  <c r="A442" i="6"/>
  <c r="E312" i="6"/>
  <c r="C312" i="6" s="1" a="1"/>
  <c r="C312" i="6" s="1"/>
  <c r="E313" i="6"/>
  <c r="E314" i="6"/>
  <c r="E315" i="6"/>
  <c r="C315" i="6" s="1" a="1"/>
  <c r="C315" i="6" s="1"/>
  <c r="E316" i="6"/>
  <c r="E317" i="6"/>
  <c r="E318" i="6"/>
  <c r="E319" i="6"/>
  <c r="E320" i="6"/>
  <c r="C320" i="6" s="1" a="1"/>
  <c r="C320" i="6" s="1"/>
  <c r="E321" i="6"/>
  <c r="E322" i="6"/>
  <c r="E323" i="6"/>
  <c r="C323" i="6" s="1" a="1"/>
  <c r="C323" i="6" s="1"/>
  <c r="E324" i="6"/>
  <c r="E325" i="6"/>
  <c r="E326" i="6"/>
  <c r="E327" i="6"/>
  <c r="E328" i="6"/>
  <c r="C328" i="6" s="1" a="1"/>
  <c r="C328" i="6" s="1"/>
  <c r="E329" i="6"/>
  <c r="E330" i="6"/>
  <c r="E331" i="6"/>
  <c r="C331" i="6" s="1" a="1"/>
  <c r="C331" i="6" s="1"/>
  <c r="E332" i="6"/>
  <c r="E333" i="6"/>
  <c r="E334" i="6"/>
  <c r="E335" i="6"/>
  <c r="E336" i="6"/>
  <c r="C336" i="6" s="1" a="1"/>
  <c r="C336" i="6" s="1"/>
  <c r="E337" i="6"/>
  <c r="E338" i="6"/>
  <c r="E339" i="6"/>
  <c r="C339" i="6" s="1" a="1"/>
  <c r="C339" i="6" s="1"/>
  <c r="E340" i="6"/>
  <c r="E341" i="6"/>
  <c r="E342" i="6"/>
  <c r="E343" i="6"/>
  <c r="E344" i="6"/>
  <c r="C344" i="6" s="1" a="1"/>
  <c r="C344" i="6" s="1"/>
  <c r="E345" i="6"/>
  <c r="E346" i="6"/>
  <c r="E347" i="6"/>
  <c r="C347" i="6" s="1" a="1"/>
  <c r="C347" i="6" s="1"/>
  <c r="E348" i="6"/>
  <c r="E349" i="6"/>
  <c r="E350" i="6"/>
  <c r="E351" i="6"/>
  <c r="E352" i="6"/>
  <c r="C352" i="6" s="1" a="1"/>
  <c r="C352" i="6" s="1"/>
  <c r="E353" i="6"/>
  <c r="E354" i="6"/>
  <c r="E355" i="6"/>
  <c r="C355" i="6" s="1" a="1"/>
  <c r="C355" i="6" s="1"/>
  <c r="E356" i="6"/>
  <c r="E357" i="6"/>
  <c r="E358" i="6"/>
  <c r="E359" i="6"/>
  <c r="E360" i="6"/>
  <c r="C360" i="6" s="1" a="1"/>
  <c r="C360" i="6" s="1"/>
  <c r="E361" i="6"/>
  <c r="E362" i="6"/>
  <c r="E363" i="6"/>
  <c r="C363" i="6" s="1" a="1"/>
  <c r="C363" i="6" s="1"/>
  <c r="E364" i="6"/>
  <c r="E365" i="6"/>
  <c r="E366" i="6"/>
  <c r="E367" i="6"/>
  <c r="E368" i="6"/>
  <c r="C368" i="6" s="1" a="1"/>
  <c r="C368" i="6" s="1"/>
  <c r="E369" i="6"/>
  <c r="E370" i="6"/>
  <c r="E371" i="6"/>
  <c r="C371" i="6" s="1" a="1"/>
  <c r="C371" i="6" s="1"/>
  <c r="E372" i="6"/>
  <c r="E373" i="6"/>
  <c r="E374" i="6"/>
  <c r="E375" i="6"/>
  <c r="E376" i="6"/>
  <c r="C376" i="6" s="1" a="1"/>
  <c r="C376" i="6" s="1"/>
  <c r="E377" i="6"/>
  <c r="E378" i="6"/>
  <c r="E379" i="6"/>
  <c r="C379" i="6" s="1" a="1"/>
  <c r="C379" i="6" s="1"/>
  <c r="E380" i="6"/>
  <c r="E381" i="6"/>
  <c r="E382" i="6"/>
  <c r="E383" i="6"/>
  <c r="E384" i="6"/>
  <c r="C384" i="6" s="1" a="1"/>
  <c r="C384" i="6" s="1"/>
  <c r="E385" i="6"/>
  <c r="E386" i="6"/>
  <c r="E387" i="6"/>
  <c r="C387" i="6" s="1" a="1"/>
  <c r="C387" i="6" s="1"/>
  <c r="E388" i="6"/>
  <c r="E389" i="6"/>
  <c r="E390" i="6"/>
  <c r="E391" i="6"/>
  <c r="E392" i="6"/>
  <c r="C392" i="6" s="1" a="1"/>
  <c r="C392" i="6" s="1"/>
  <c r="E393" i="6"/>
  <c r="E394" i="6"/>
  <c r="E395" i="6"/>
  <c r="C395" i="6" s="1" a="1"/>
  <c r="C395" i="6" s="1"/>
  <c r="E396" i="6"/>
  <c r="E397" i="6"/>
  <c r="E398" i="6"/>
  <c r="E399" i="6"/>
  <c r="E400" i="6"/>
  <c r="C400" i="6" s="1" a="1"/>
  <c r="C400" i="6" s="1"/>
  <c r="E401" i="6"/>
  <c r="E402" i="6"/>
  <c r="E403" i="6"/>
  <c r="C403" i="6" s="1" a="1"/>
  <c r="C403" i="6" s="1"/>
  <c r="E404" i="6"/>
  <c r="E405" i="6"/>
  <c r="E406" i="6"/>
  <c r="E407" i="6"/>
  <c r="E408" i="6"/>
  <c r="C408" i="6" s="1" a="1"/>
  <c r="C408" i="6" s="1"/>
  <c r="E409" i="6"/>
  <c r="E410" i="6"/>
  <c r="E411" i="6"/>
  <c r="C411" i="6" s="1" a="1"/>
  <c r="C411" i="6" s="1"/>
  <c r="E412" i="6"/>
  <c r="E413" i="6"/>
  <c r="E414" i="6"/>
  <c r="E415" i="6"/>
  <c r="E416" i="6"/>
  <c r="C416" i="6" s="1" a="1"/>
  <c r="C416" i="6" s="1"/>
  <c r="E417" i="6"/>
  <c r="E418" i="6"/>
  <c r="E419" i="6"/>
  <c r="C419" i="6" s="1" a="1"/>
  <c r="C419" i="6" s="1"/>
  <c r="E420" i="6"/>
  <c r="E421" i="6"/>
  <c r="E422" i="6"/>
  <c r="E423" i="6"/>
  <c r="E424" i="6"/>
  <c r="C424" i="6" s="1" a="1"/>
  <c r="C424" i="6" s="1"/>
  <c r="E425" i="6"/>
  <c r="E426" i="6"/>
  <c r="E427" i="6"/>
  <c r="C427" i="6" s="1" a="1"/>
  <c r="C427" i="6" s="1"/>
  <c r="E428" i="6"/>
  <c r="E429" i="6"/>
  <c r="E430" i="6"/>
  <c r="E431" i="6"/>
  <c r="E432" i="6"/>
  <c r="C432" i="6" s="1" a="1"/>
  <c r="C432" i="6" s="1"/>
  <c r="E433" i="6"/>
  <c r="E434" i="6"/>
  <c r="E435" i="6"/>
  <c r="C435" i="6" s="1" a="1"/>
  <c r="C435" i="6" s="1"/>
  <c r="E436" i="6"/>
  <c r="E437" i="6"/>
  <c r="E438" i="6"/>
  <c r="E439" i="6"/>
  <c r="E440" i="6"/>
  <c r="C440" i="6" s="1" a="1"/>
  <c r="C440" i="6" s="1"/>
  <c r="E441" i="6"/>
  <c r="E442" i="6"/>
  <c r="C26" i="6" a="1"/>
  <c r="C26" i="6" s="1"/>
  <c r="C27" i="6" a="1"/>
  <c r="C27" i="6" s="1"/>
  <c r="C28" i="6" a="1"/>
  <c r="C28" i="6"/>
  <c r="C29" i="6" a="1"/>
  <c r="C29" i="6"/>
  <c r="C30" i="6" a="1"/>
  <c r="C30" i="6" s="1"/>
  <c r="C31" i="6" a="1"/>
  <c r="C31" i="6" s="1"/>
  <c r="C32" i="6" a="1"/>
  <c r="C32" i="6"/>
  <c r="C33" i="6" a="1"/>
  <c r="C33" i="6"/>
  <c r="C34" i="6" a="1"/>
  <c r="C34" i="6" s="1"/>
  <c r="C35" i="6" a="1"/>
  <c r="C35" i="6" s="1"/>
  <c r="C36" i="6" a="1"/>
  <c r="C36" i="6"/>
  <c r="C37" i="6" a="1"/>
  <c r="C37" i="6" s="1"/>
  <c r="C38" i="6" a="1"/>
  <c r="C38" i="6" s="1"/>
  <c r="C39" i="6" a="1"/>
  <c r="C39" i="6" s="1"/>
  <c r="C40" i="6" a="1"/>
  <c r="C40" i="6"/>
  <c r="C41" i="6" a="1"/>
  <c r="C41" i="6" s="1"/>
  <c r="C42" i="6" a="1"/>
  <c r="C42" i="6" s="1"/>
  <c r="C43" i="6" a="1"/>
  <c r="C43" i="6" s="1"/>
  <c r="C44" i="6" a="1"/>
  <c r="C44" i="6"/>
  <c r="C45" i="6" a="1"/>
  <c r="C45" i="6" s="1"/>
  <c r="C46" i="6" a="1"/>
  <c r="C46" i="6" s="1"/>
  <c r="C47" i="6" a="1"/>
  <c r="C47" i="6" s="1"/>
  <c r="C48" i="6" a="1"/>
  <c r="C48" i="6"/>
  <c r="C49" i="6" a="1"/>
  <c r="C49" i="6"/>
  <c r="C50" i="6" a="1"/>
  <c r="C50" i="6" s="1"/>
  <c r="C51" i="6" a="1"/>
  <c r="C51" i="6" s="1"/>
  <c r="C52" i="6" a="1"/>
  <c r="C52" i="6" s="1"/>
  <c r="C53" i="6" a="1"/>
  <c r="C53" i="6" s="1"/>
  <c r="C54" i="6" a="1"/>
  <c r="C54" i="6" s="1"/>
  <c r="C55" i="6" a="1"/>
  <c r="C55" i="6" s="1"/>
  <c r="C56" i="6" a="1"/>
  <c r="C56" i="6"/>
  <c r="C57" i="6" a="1"/>
  <c r="C57" i="6" s="1"/>
  <c r="C58" i="6" a="1"/>
  <c r="C58" i="6" s="1"/>
  <c r="C59" i="6" a="1"/>
  <c r="C59" i="6" s="1"/>
  <c r="C60" i="6" a="1"/>
  <c r="C60" i="6"/>
  <c r="C61" i="6" a="1"/>
  <c r="C61" i="6" s="1"/>
  <c r="C62" i="6" a="1"/>
  <c r="C62" i="6" s="1"/>
  <c r="C63" i="6" a="1"/>
  <c r="C63" i="6" s="1"/>
  <c r="C64" i="6" a="1"/>
  <c r="C64" i="6" s="1"/>
  <c r="C65" i="6" a="1"/>
  <c r="C65" i="6"/>
  <c r="C66" i="6" a="1"/>
  <c r="C66" i="6" s="1"/>
  <c r="C67" i="6" a="1"/>
  <c r="C67" i="6" s="1"/>
  <c r="C68" i="6" a="1"/>
  <c r="C68" i="6" s="1"/>
  <c r="C69" i="6" a="1"/>
  <c r="C69" i="6"/>
  <c r="C70" i="6" a="1"/>
  <c r="C70" i="6" s="1"/>
  <c r="C71" i="6" a="1"/>
  <c r="C71" i="6" s="1"/>
  <c r="C72" i="6" a="1"/>
  <c r="C72" i="6" s="1"/>
  <c r="C73" i="6" a="1"/>
  <c r="C73" i="6" s="1"/>
  <c r="C74" i="6" a="1"/>
  <c r="C74" i="6" s="1"/>
  <c r="C75" i="6" a="1"/>
  <c r="C75" i="6" s="1"/>
  <c r="C76" i="6" a="1"/>
  <c r="C76" i="6"/>
  <c r="C77" i="6" a="1"/>
  <c r="C77" i="6" s="1"/>
  <c r="C78" i="6" a="1"/>
  <c r="C78" i="6" s="1"/>
  <c r="C79" i="6" a="1"/>
  <c r="C79" i="6" s="1"/>
  <c r="C80" i="6" a="1"/>
  <c r="C80" i="6"/>
  <c r="C81" i="6" a="1"/>
  <c r="C81" i="6"/>
  <c r="C82" i="6" a="1"/>
  <c r="C82" i="6" s="1"/>
  <c r="C83" i="6" a="1"/>
  <c r="C83" i="6" s="1"/>
  <c r="C84" i="6" a="1"/>
  <c r="C84" i="6" s="1"/>
  <c r="C85" i="6" a="1"/>
  <c r="C85" i="6"/>
  <c r="C86" i="6" a="1"/>
  <c r="C86" i="6" s="1"/>
  <c r="C87" i="6" a="1"/>
  <c r="C87" i="6" s="1"/>
  <c r="C88" i="6" a="1"/>
  <c r="C88" i="6" s="1"/>
  <c r="C89" i="6" a="1"/>
  <c r="C89" i="6" s="1"/>
  <c r="C90" i="6" a="1"/>
  <c r="C90" i="6" s="1"/>
  <c r="C91" i="6" a="1"/>
  <c r="C91" i="6" s="1"/>
  <c r="C92" i="6" a="1"/>
  <c r="C92" i="6"/>
  <c r="C93" i="6" a="1"/>
  <c r="C93" i="6" s="1"/>
  <c r="C94" i="6" a="1"/>
  <c r="C94" i="6" s="1"/>
  <c r="C95" i="6" a="1"/>
  <c r="C95" i="6" s="1"/>
  <c r="C96" i="6" a="1"/>
  <c r="C96" i="6"/>
  <c r="C97" i="6" a="1"/>
  <c r="C97" i="6"/>
  <c r="C98" i="6" a="1"/>
  <c r="C98" i="6" s="1"/>
  <c r="C99" i="6" a="1"/>
  <c r="C99" i="6" s="1"/>
  <c r="C100" i="6" a="1"/>
  <c r="C100" i="6" s="1"/>
  <c r="C101" i="6" a="1"/>
  <c r="C101" i="6"/>
  <c r="C102" i="6" a="1"/>
  <c r="C102" i="6" s="1"/>
  <c r="C103" i="6" a="1"/>
  <c r="C103" i="6" s="1"/>
  <c r="C104" i="6" a="1"/>
  <c r="C104" i="6" s="1"/>
  <c r="C105" i="6" a="1"/>
  <c r="C105" i="6" s="1"/>
  <c r="C106" i="6" a="1"/>
  <c r="C106" i="6" s="1"/>
  <c r="C107" i="6" a="1"/>
  <c r="C107" i="6" s="1"/>
  <c r="C108" i="6" a="1"/>
  <c r="C108" i="6" s="1"/>
  <c r="C109" i="6" a="1"/>
  <c r="C109" i="6" s="1"/>
  <c r="C110" i="6" a="1"/>
  <c r="C110" i="6" s="1"/>
  <c r="C111" i="6" a="1"/>
  <c r="C111" i="6" s="1"/>
  <c r="C112" i="6" a="1"/>
  <c r="C112" i="6"/>
  <c r="C113" i="6" a="1"/>
  <c r="C113" i="6" s="1"/>
  <c r="C114" i="6" a="1"/>
  <c r="C114" i="6" s="1"/>
  <c r="C115" i="6" a="1"/>
  <c r="C115" i="6" s="1"/>
  <c r="C116" i="6" a="1"/>
  <c r="C116" i="6" s="1"/>
  <c r="C117" i="6" a="1"/>
  <c r="C117" i="6" s="1"/>
  <c r="C118" i="6" a="1"/>
  <c r="C118" i="6" s="1"/>
  <c r="C119" i="6" a="1"/>
  <c r="C119" i="6" s="1"/>
  <c r="C120" i="6" a="1"/>
  <c r="C120" i="6" s="1"/>
  <c r="C121" i="6" a="1"/>
  <c r="C121" i="6" s="1"/>
  <c r="C122" i="6" a="1"/>
  <c r="C122" i="6" s="1"/>
  <c r="C123" i="6" a="1"/>
  <c r="C123" i="6" s="1"/>
  <c r="C124" i="6" a="1"/>
  <c r="C124" i="6" s="1"/>
  <c r="C125" i="6" a="1"/>
  <c r="C125" i="6" s="1"/>
  <c r="C126" i="6" a="1"/>
  <c r="C126" i="6" s="1"/>
  <c r="C127" i="6" a="1"/>
  <c r="C127" i="6" s="1"/>
  <c r="C128" i="6" a="1"/>
  <c r="C128" i="6" s="1"/>
  <c r="C129" i="6" a="1"/>
  <c r="C129" i="6" s="1"/>
  <c r="C130" i="6" a="1"/>
  <c r="C130" i="6" s="1"/>
  <c r="C131" i="6" a="1"/>
  <c r="C131" i="6" s="1"/>
  <c r="C132" i="6" a="1"/>
  <c r="C132" i="6" s="1"/>
  <c r="C133" i="6" a="1"/>
  <c r="C133" i="6" s="1"/>
  <c r="C134" i="6" a="1"/>
  <c r="C134" i="6" s="1"/>
  <c r="C135" i="6" a="1"/>
  <c r="C135" i="6" s="1"/>
  <c r="C136" i="6" a="1"/>
  <c r="C136" i="6" s="1"/>
  <c r="C137" i="6" a="1"/>
  <c r="C137" i="6" s="1"/>
  <c r="C138" i="6" a="1"/>
  <c r="C138" i="6" s="1"/>
  <c r="C139" i="6" a="1"/>
  <c r="C139" i="6" s="1"/>
  <c r="C140" i="6" a="1"/>
  <c r="C140" i="6" s="1"/>
  <c r="C141" i="6" a="1"/>
  <c r="C141" i="6" s="1"/>
  <c r="C142" i="6" a="1"/>
  <c r="C142" i="6" s="1"/>
  <c r="C143" i="6" a="1"/>
  <c r="C143" i="6" s="1"/>
  <c r="C144" i="6" a="1"/>
  <c r="C144" i="6" s="1"/>
  <c r="C145" i="6" a="1"/>
  <c r="C145" i="6" s="1"/>
  <c r="C146" i="6" a="1"/>
  <c r="C146" i="6" s="1"/>
  <c r="C147" i="6" a="1"/>
  <c r="C147" i="6" s="1"/>
  <c r="C148" i="6" a="1"/>
  <c r="C148" i="6" s="1"/>
  <c r="C149" i="6" a="1"/>
  <c r="C149" i="6" s="1"/>
  <c r="C150" i="6" a="1"/>
  <c r="C150" i="6" s="1"/>
  <c r="C151" i="6" a="1"/>
  <c r="C151" i="6" s="1"/>
  <c r="C152" i="6" a="1"/>
  <c r="C152" i="6" s="1"/>
  <c r="C153" i="6" a="1"/>
  <c r="C153" i="6" s="1"/>
  <c r="C154" i="6" a="1"/>
  <c r="C154" i="6" s="1"/>
  <c r="C155" i="6" a="1"/>
  <c r="C155" i="6" s="1"/>
  <c r="C156" i="6" a="1"/>
  <c r="C156" i="6" s="1"/>
  <c r="C157" i="6" a="1"/>
  <c r="C157" i="6" s="1"/>
  <c r="C158" i="6" a="1"/>
  <c r="C158" i="6" s="1"/>
  <c r="C159" i="6" a="1"/>
  <c r="C159" i="6" s="1"/>
  <c r="C160" i="6" a="1"/>
  <c r="C160" i="6" s="1"/>
  <c r="C161" i="6" a="1"/>
  <c r="C161" i="6" s="1"/>
  <c r="C162" i="6" a="1"/>
  <c r="C162" i="6" s="1"/>
  <c r="C163" i="6" a="1"/>
  <c r="C163" i="6" s="1"/>
  <c r="C164" i="6" a="1"/>
  <c r="C164" i="6" s="1"/>
  <c r="C165" i="6" a="1"/>
  <c r="C165" i="6" s="1"/>
  <c r="C166" i="6" a="1"/>
  <c r="C166" i="6" s="1"/>
  <c r="C167" i="6" a="1"/>
  <c r="C167" i="6" s="1"/>
  <c r="C168" i="6" a="1"/>
  <c r="C168" i="6" s="1"/>
  <c r="C169" i="6" a="1"/>
  <c r="C169" i="6" s="1"/>
  <c r="C170" i="6" a="1"/>
  <c r="C170" i="6" s="1"/>
  <c r="C171" i="6" a="1"/>
  <c r="C171" i="6" s="1"/>
  <c r="C172" i="6" a="1"/>
  <c r="C172" i="6" s="1"/>
  <c r="C173" i="6" a="1"/>
  <c r="C173" i="6" s="1"/>
  <c r="C174" i="6" a="1"/>
  <c r="C174" i="6" s="1"/>
  <c r="C175" i="6" a="1"/>
  <c r="C175" i="6" s="1"/>
  <c r="C176" i="6" a="1"/>
  <c r="C176" i="6" s="1"/>
  <c r="C177" i="6" a="1"/>
  <c r="C177" i="6" s="1"/>
  <c r="C178" i="6" a="1"/>
  <c r="C178" i="6" s="1"/>
  <c r="C179" i="6" a="1"/>
  <c r="C179" i="6" s="1"/>
  <c r="C180" i="6" a="1"/>
  <c r="C180" i="6" s="1"/>
  <c r="C181" i="6" a="1"/>
  <c r="C181" i="6" s="1"/>
  <c r="C182" i="6" a="1"/>
  <c r="C182" i="6" s="1"/>
  <c r="C183" i="6" a="1"/>
  <c r="C183" i="6" s="1"/>
  <c r="C184" i="6" a="1"/>
  <c r="C184" i="6" s="1"/>
  <c r="C185" i="6" a="1"/>
  <c r="C185" i="6" s="1"/>
  <c r="C186" i="6" a="1"/>
  <c r="C186" i="6" s="1"/>
  <c r="C187" i="6" a="1"/>
  <c r="C187" i="6" s="1"/>
  <c r="C188" i="6" a="1"/>
  <c r="C188" i="6" s="1"/>
  <c r="C189" i="6" a="1"/>
  <c r="C189" i="6" s="1"/>
  <c r="C190" i="6" a="1"/>
  <c r="C190" i="6" s="1"/>
  <c r="C191" i="6" a="1"/>
  <c r="C191" i="6" s="1"/>
  <c r="C192" i="6" a="1"/>
  <c r="C192" i="6" s="1"/>
  <c r="C193" i="6" a="1"/>
  <c r="C193" i="6" s="1"/>
  <c r="C194" i="6" a="1"/>
  <c r="C194" i="6" s="1"/>
  <c r="C195" i="6" a="1"/>
  <c r="C195" i="6" s="1"/>
  <c r="C196" i="6" a="1"/>
  <c r="C196" i="6" s="1"/>
  <c r="C197" i="6" a="1"/>
  <c r="C197" i="6" s="1"/>
  <c r="C198" i="6" a="1"/>
  <c r="C198" i="6" s="1"/>
  <c r="C199" i="6" a="1"/>
  <c r="C199" i="6" s="1"/>
  <c r="C200" i="6" a="1"/>
  <c r="C200" i="6" s="1"/>
  <c r="C201" i="6" a="1"/>
  <c r="C201" i="6" s="1"/>
  <c r="C202" i="6" a="1"/>
  <c r="C202" i="6" s="1"/>
  <c r="C203" i="6" a="1"/>
  <c r="C203" i="6" s="1"/>
  <c r="C204" i="6" a="1"/>
  <c r="C204" i="6" s="1"/>
  <c r="C205" i="6" a="1"/>
  <c r="C205" i="6" s="1"/>
  <c r="C206" i="6" a="1"/>
  <c r="C206" i="6" s="1"/>
  <c r="C207" i="6" a="1"/>
  <c r="C207" i="6" s="1"/>
  <c r="C208" i="6" a="1"/>
  <c r="C208" i="6" s="1"/>
  <c r="C209" i="6" a="1"/>
  <c r="C209" i="6" s="1"/>
  <c r="C210" i="6" a="1"/>
  <c r="C210" i="6" s="1"/>
  <c r="C211" i="6" a="1"/>
  <c r="C211" i="6" s="1"/>
  <c r="C212" i="6" a="1"/>
  <c r="C212" i="6" s="1"/>
  <c r="C213" i="6" a="1"/>
  <c r="C213" i="6" s="1"/>
  <c r="C214" i="6" a="1"/>
  <c r="C214" i="6" s="1"/>
  <c r="C215" i="6" a="1"/>
  <c r="C215" i="6" s="1"/>
  <c r="C216" i="6" a="1"/>
  <c r="C216" i="6" s="1"/>
  <c r="C217" i="6" a="1"/>
  <c r="C217" i="6" s="1"/>
  <c r="C218" i="6" a="1"/>
  <c r="C218" i="6" s="1"/>
  <c r="C219" i="6" a="1"/>
  <c r="C219" i="6" s="1"/>
  <c r="C220" i="6" a="1"/>
  <c r="C220" i="6" s="1"/>
  <c r="C221" i="6" a="1"/>
  <c r="C221" i="6" s="1"/>
  <c r="C222" i="6" a="1"/>
  <c r="C222" i="6" s="1"/>
  <c r="C223" i="6" a="1"/>
  <c r="C223" i="6" s="1"/>
  <c r="C224" i="6" a="1"/>
  <c r="C224" i="6" s="1"/>
  <c r="C225" i="6" a="1"/>
  <c r="C225" i="6" s="1"/>
  <c r="C226" i="6" a="1"/>
  <c r="C226" i="6" s="1"/>
  <c r="C227" i="6" a="1"/>
  <c r="C227" i="6" s="1"/>
  <c r="C228" i="6" a="1"/>
  <c r="C228" i="6" s="1"/>
  <c r="C229" i="6" a="1"/>
  <c r="C229" i="6" s="1"/>
  <c r="C230" i="6" a="1"/>
  <c r="C230" i="6" s="1"/>
  <c r="C231" i="6" a="1"/>
  <c r="C231" i="6" s="1"/>
  <c r="C232" i="6" a="1"/>
  <c r="C232" i="6" s="1"/>
  <c r="C233" i="6" a="1"/>
  <c r="C233" i="6" s="1"/>
  <c r="C234" i="6" a="1"/>
  <c r="C234" i="6" s="1"/>
  <c r="C235" i="6" a="1"/>
  <c r="C235" i="6" s="1"/>
  <c r="C236" i="6" a="1"/>
  <c r="C236" i="6" s="1"/>
  <c r="C237" i="6" a="1"/>
  <c r="C237" i="6" s="1"/>
  <c r="C238" i="6" a="1"/>
  <c r="C238" i="6" s="1"/>
  <c r="C239" i="6" a="1"/>
  <c r="C239" i="6" s="1"/>
  <c r="C240" i="6" a="1"/>
  <c r="C240" i="6" s="1"/>
  <c r="C241" i="6" a="1"/>
  <c r="C241" i="6" s="1"/>
  <c r="C242" i="6" a="1"/>
  <c r="C242" i="6" s="1"/>
  <c r="C243" i="6" a="1"/>
  <c r="C243" i="6" s="1"/>
  <c r="C244" i="6" a="1"/>
  <c r="C244" i="6" s="1"/>
  <c r="C245" i="6" a="1"/>
  <c r="C245" i="6" s="1"/>
  <c r="C246" i="6" a="1"/>
  <c r="C246" i="6" s="1"/>
  <c r="C247" i="6" a="1"/>
  <c r="C247" i="6" s="1"/>
  <c r="C248" i="6" a="1"/>
  <c r="C248" i="6" s="1"/>
  <c r="C249" i="6" a="1"/>
  <c r="C249" i="6" s="1"/>
  <c r="C250" i="6" a="1"/>
  <c r="C250" i="6" s="1"/>
  <c r="C251" i="6" a="1"/>
  <c r="C251" i="6" s="1"/>
  <c r="C252" i="6" a="1"/>
  <c r="C252" i="6" s="1"/>
  <c r="C253" i="6" a="1"/>
  <c r="C253" i="6" s="1"/>
  <c r="C254" i="6" a="1"/>
  <c r="C254" i="6" s="1"/>
  <c r="C255" i="6" a="1"/>
  <c r="C255" i="6" s="1"/>
  <c r="C256" i="6" a="1"/>
  <c r="C256" i="6" s="1"/>
  <c r="C257" i="6" a="1"/>
  <c r="C257" i="6" s="1"/>
  <c r="C258" i="6" a="1"/>
  <c r="C258" i="6" s="1"/>
  <c r="C259" i="6" a="1"/>
  <c r="C259" i="6" s="1"/>
  <c r="C260" i="6" a="1"/>
  <c r="C260" i="6" s="1"/>
  <c r="C261" i="6" a="1"/>
  <c r="C261" i="6" s="1"/>
  <c r="C262" i="6" a="1"/>
  <c r="C262" i="6" s="1"/>
  <c r="C263" i="6" a="1"/>
  <c r="C263" i="6" s="1"/>
  <c r="C264" i="6" a="1"/>
  <c r="C264" i="6" s="1"/>
  <c r="C265" i="6" a="1"/>
  <c r="C265" i="6" s="1"/>
  <c r="C266" i="6" a="1"/>
  <c r="C266" i="6" s="1"/>
  <c r="C267" i="6" a="1"/>
  <c r="C267" i="6" s="1"/>
  <c r="C268" i="6" a="1"/>
  <c r="C268" i="6" s="1"/>
  <c r="C269" i="6" a="1"/>
  <c r="C269" i="6" s="1"/>
  <c r="C270" i="6" a="1"/>
  <c r="C270" i="6" s="1"/>
  <c r="C271" i="6" a="1"/>
  <c r="C271" i="6" s="1"/>
  <c r="C272" i="6" a="1"/>
  <c r="C272" i="6" s="1"/>
  <c r="C273" i="6" a="1"/>
  <c r="C273" i="6" s="1"/>
  <c r="C274" i="6" a="1"/>
  <c r="C274" i="6" s="1"/>
  <c r="C275" i="6" a="1"/>
  <c r="C275" i="6" s="1"/>
  <c r="C276" i="6" a="1"/>
  <c r="C276" i="6" s="1"/>
  <c r="C277" i="6" a="1"/>
  <c r="C277" i="6" s="1"/>
  <c r="C278" i="6" a="1"/>
  <c r="C278" i="6" s="1"/>
  <c r="C279" i="6" a="1"/>
  <c r="C279" i="6" s="1"/>
  <c r="C280" i="6" a="1"/>
  <c r="C280" i="6" s="1"/>
  <c r="C281" i="6" a="1"/>
  <c r="C281" i="6" s="1"/>
  <c r="C282" i="6" a="1"/>
  <c r="C282" i="6" s="1"/>
  <c r="C283" i="6" a="1"/>
  <c r="C283" i="6" s="1"/>
  <c r="C284" i="6" a="1"/>
  <c r="C284" i="6" s="1"/>
  <c r="C285" i="6" a="1"/>
  <c r="C285" i="6" s="1"/>
  <c r="C286" i="6" a="1"/>
  <c r="C286" i="6" s="1"/>
  <c r="C287" i="6" a="1"/>
  <c r="C287" i="6" s="1"/>
  <c r="C288" i="6" a="1"/>
  <c r="C288" i="6" s="1"/>
  <c r="C289" i="6" a="1"/>
  <c r="C289" i="6" s="1"/>
  <c r="C290" i="6" a="1"/>
  <c r="C290" i="6" s="1"/>
  <c r="C291" i="6" a="1"/>
  <c r="C291" i="6" s="1"/>
  <c r="C292" i="6" a="1"/>
  <c r="C292" i="6" s="1"/>
  <c r="C293" i="6" a="1"/>
  <c r="C293" i="6" s="1"/>
  <c r="C294" i="6" a="1"/>
  <c r="C294" i="6" s="1"/>
  <c r="C295" i="6" a="1"/>
  <c r="C295" i="6" s="1"/>
  <c r="C296" i="6" a="1"/>
  <c r="C296" i="6" s="1"/>
  <c r="C297" i="6" a="1"/>
  <c r="C297" i="6" s="1"/>
  <c r="C298" i="6" a="1"/>
  <c r="C298" i="6" s="1"/>
  <c r="C299" i="6" a="1"/>
  <c r="C299" i="6" s="1"/>
  <c r="C300" i="6" a="1"/>
  <c r="C300" i="6" s="1"/>
  <c r="C301" i="6" a="1"/>
  <c r="C301" i="6" s="1"/>
  <c r="C302" i="6" a="1"/>
  <c r="C302" i="6" s="1"/>
  <c r="C303" i="6" a="1"/>
  <c r="C303" i="6" s="1"/>
  <c r="C304" i="6" a="1"/>
  <c r="C304" i="6" s="1"/>
  <c r="C305" i="6" a="1"/>
  <c r="C305" i="6" s="1"/>
  <c r="C306" i="6" a="1"/>
  <c r="C306" i="6" s="1"/>
  <c r="C307" i="6" a="1"/>
  <c r="C307" i="6" s="1"/>
  <c r="C308" i="6" a="1"/>
  <c r="C308" i="6" s="1"/>
  <c r="C309" i="6" a="1"/>
  <c r="C309" i="6" s="1"/>
  <c r="C310" i="6" a="1"/>
  <c r="C310" i="6" s="1"/>
  <c r="C311" i="6" a="1"/>
  <c r="C311" i="6" s="1"/>
  <c r="C313" i="6" a="1"/>
  <c r="C313" i="6" s="1"/>
  <c r="C314" i="6" a="1"/>
  <c r="C314" i="6" s="1"/>
  <c r="C316" i="6" a="1"/>
  <c r="C316" i="6" s="1"/>
  <c r="C317" i="6" a="1"/>
  <c r="C317" i="6" s="1"/>
  <c r="C318" i="6" a="1"/>
  <c r="C318" i="6" s="1"/>
  <c r="C319" i="6" a="1"/>
  <c r="C319" i="6" s="1"/>
  <c r="C321" i="6" a="1"/>
  <c r="C321" i="6" s="1"/>
  <c r="C322" i="6" a="1"/>
  <c r="C322" i="6" s="1"/>
  <c r="C324" i="6" a="1"/>
  <c r="C324" i="6" s="1"/>
  <c r="C325" i="6" a="1"/>
  <c r="C325" i="6" s="1"/>
  <c r="C326" i="6" a="1"/>
  <c r="C326" i="6" s="1"/>
  <c r="C327" i="6" a="1"/>
  <c r="C327" i="6" s="1"/>
  <c r="C329" i="6" a="1"/>
  <c r="C329" i="6" s="1"/>
  <c r="C330" i="6" a="1"/>
  <c r="C330" i="6" s="1"/>
  <c r="C332" i="6" a="1"/>
  <c r="C332" i="6" s="1"/>
  <c r="C333" i="6" a="1"/>
  <c r="C333" i="6" s="1"/>
  <c r="C334" i="6" a="1"/>
  <c r="C334" i="6" s="1"/>
  <c r="C335" i="6" a="1"/>
  <c r="C335" i="6" s="1"/>
  <c r="C337" i="6" a="1"/>
  <c r="C337" i="6" s="1"/>
  <c r="C338" i="6" a="1"/>
  <c r="C338" i="6" s="1"/>
  <c r="C340" i="6" a="1"/>
  <c r="C340" i="6" s="1"/>
  <c r="C341" i="6" a="1"/>
  <c r="C341" i="6" s="1"/>
  <c r="C342" i="6" a="1"/>
  <c r="C342" i="6" s="1"/>
  <c r="C343" i="6" a="1"/>
  <c r="C343" i="6" s="1"/>
  <c r="C345" i="6" a="1"/>
  <c r="C345" i="6" s="1"/>
  <c r="C346" i="6" a="1"/>
  <c r="C346" i="6" s="1"/>
  <c r="C348" i="6" a="1"/>
  <c r="C348" i="6" s="1"/>
  <c r="C349" i="6" a="1"/>
  <c r="C349" i="6" s="1"/>
  <c r="C350" i="6" a="1"/>
  <c r="C350" i="6" s="1"/>
  <c r="C351" i="6" a="1"/>
  <c r="C351" i="6" s="1"/>
  <c r="C353" i="6" a="1"/>
  <c r="C353" i="6" s="1"/>
  <c r="C354" i="6" a="1"/>
  <c r="C354" i="6" s="1"/>
  <c r="C356" i="6" a="1"/>
  <c r="C356" i="6" s="1"/>
  <c r="C357" i="6" a="1"/>
  <c r="C357" i="6" s="1"/>
  <c r="C358" i="6" a="1"/>
  <c r="C358" i="6" s="1"/>
  <c r="C359" i="6" a="1"/>
  <c r="C359" i="6" s="1"/>
  <c r="C361" i="6" a="1"/>
  <c r="C361" i="6" s="1"/>
  <c r="C362" i="6" a="1"/>
  <c r="C362" i="6" s="1"/>
  <c r="C364" i="6" a="1"/>
  <c r="C364" i="6" s="1"/>
  <c r="C365" i="6" a="1"/>
  <c r="C365" i="6" s="1"/>
  <c r="C366" i="6" a="1"/>
  <c r="C366" i="6" s="1"/>
  <c r="C367" i="6" a="1"/>
  <c r="C367" i="6" s="1"/>
  <c r="C369" i="6" a="1"/>
  <c r="C369" i="6" s="1"/>
  <c r="C370" i="6" a="1"/>
  <c r="C370" i="6" s="1"/>
  <c r="C372" i="6" a="1"/>
  <c r="C372" i="6" s="1"/>
  <c r="C373" i="6" a="1"/>
  <c r="C373" i="6" s="1"/>
  <c r="C374" i="6" a="1"/>
  <c r="C374" i="6" s="1"/>
  <c r="C375" i="6" a="1"/>
  <c r="C375" i="6" s="1"/>
  <c r="C377" i="6" a="1"/>
  <c r="C377" i="6" s="1"/>
  <c r="C378" i="6" a="1"/>
  <c r="C378" i="6" s="1"/>
  <c r="C380" i="6" a="1"/>
  <c r="C380" i="6" s="1"/>
  <c r="C381" i="6" a="1"/>
  <c r="C381" i="6" s="1"/>
  <c r="C382" i="6" a="1"/>
  <c r="C382" i="6" s="1"/>
  <c r="C383" i="6" a="1"/>
  <c r="C383" i="6" s="1"/>
  <c r="C385" i="6" a="1"/>
  <c r="C385" i="6" s="1"/>
  <c r="C386" i="6" a="1"/>
  <c r="C386" i="6" s="1"/>
  <c r="C388" i="6" a="1"/>
  <c r="C388" i="6" s="1"/>
  <c r="C389" i="6" a="1"/>
  <c r="C389" i="6" s="1"/>
  <c r="C390" i="6" a="1"/>
  <c r="C390" i="6" s="1"/>
  <c r="C391" i="6" a="1"/>
  <c r="C391" i="6" s="1"/>
  <c r="C393" i="6" a="1"/>
  <c r="C393" i="6" s="1"/>
  <c r="C394" i="6" a="1"/>
  <c r="C394" i="6" s="1"/>
  <c r="C396" i="6" a="1"/>
  <c r="C396" i="6" s="1"/>
  <c r="C397" i="6" a="1"/>
  <c r="C397" i="6" s="1"/>
  <c r="C398" i="6" a="1"/>
  <c r="C398" i="6" s="1"/>
  <c r="C399" i="6" a="1"/>
  <c r="C399" i="6" s="1"/>
  <c r="C401" i="6" a="1"/>
  <c r="C401" i="6" s="1"/>
  <c r="C402" i="6" a="1"/>
  <c r="C402" i="6" s="1"/>
  <c r="C404" i="6" a="1"/>
  <c r="C404" i="6" s="1"/>
  <c r="C405" i="6" a="1"/>
  <c r="C405" i="6" s="1"/>
  <c r="C406" i="6" a="1"/>
  <c r="C406" i="6" s="1"/>
  <c r="C407" i="6" a="1"/>
  <c r="C407" i="6" s="1"/>
  <c r="C409" i="6" a="1"/>
  <c r="C409" i="6" s="1"/>
  <c r="C410" i="6" a="1"/>
  <c r="C410" i="6" s="1"/>
  <c r="C412" i="6" a="1"/>
  <c r="C412" i="6" s="1"/>
  <c r="C413" i="6" a="1"/>
  <c r="C413" i="6" s="1"/>
  <c r="C414" i="6" a="1"/>
  <c r="C414" i="6" s="1"/>
  <c r="C415" i="6" a="1"/>
  <c r="C415" i="6" s="1"/>
  <c r="C417" i="6" a="1"/>
  <c r="C417" i="6" s="1"/>
  <c r="C418" i="6" a="1"/>
  <c r="C418" i="6" s="1"/>
  <c r="C420" i="6" a="1"/>
  <c r="C420" i="6" s="1"/>
  <c r="C421" i="6" a="1"/>
  <c r="C421" i="6" s="1"/>
  <c r="C422" i="6" a="1"/>
  <c r="C422" i="6" s="1"/>
  <c r="C423" i="6" a="1"/>
  <c r="C423" i="6" s="1"/>
  <c r="C425" i="6" a="1"/>
  <c r="C425" i="6" s="1"/>
  <c r="C426" i="6" a="1"/>
  <c r="C426" i="6" s="1"/>
  <c r="C428" i="6" a="1"/>
  <c r="C428" i="6" s="1"/>
  <c r="C429" i="6" a="1"/>
  <c r="C429" i="6" s="1"/>
  <c r="C430" i="6" a="1"/>
  <c r="C430" i="6" s="1"/>
  <c r="C431" i="6" a="1"/>
  <c r="C431" i="6" s="1"/>
  <c r="C433" i="6" a="1"/>
  <c r="C433" i="6" s="1"/>
  <c r="C434" i="6" a="1"/>
  <c r="C434" i="6" s="1"/>
  <c r="C436" i="6" a="1"/>
  <c r="C436" i="6" s="1"/>
  <c r="C437" i="6" a="1"/>
  <c r="C437" i="6" s="1"/>
  <c r="C438" i="6" a="1"/>
  <c r="C438" i="6" s="1"/>
  <c r="C439" i="6" a="1"/>
  <c r="C439" i="6" s="1"/>
  <c r="C441" i="6" a="1"/>
  <c r="C441" i="6" s="1"/>
  <c r="C442" i="6" a="1"/>
  <c r="C442" i="6" s="1"/>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A300" i="6" a="1"/>
  <c r="A300" i="6" s="1"/>
  <c r="A301" i="6" a="1"/>
  <c r="A301" i="6" s="1"/>
  <c r="A302" i="6" a="1"/>
  <c r="A302" i="6" s="1"/>
  <c r="A303" i="6" a="1"/>
  <c r="A303" i="6"/>
  <c r="A304" i="6" a="1"/>
  <c r="A304" i="6" s="1"/>
  <c r="A305" i="6" a="1"/>
  <c r="A305" i="6" s="1"/>
  <c r="A306" i="6" a="1"/>
  <c r="A306" i="6" s="1"/>
  <c r="A307" i="6" a="1"/>
  <c r="A307" i="6"/>
  <c r="A308" i="6" a="1"/>
  <c r="A308" i="6" s="1"/>
  <c r="A309" i="6" a="1"/>
  <c r="A309" i="6" s="1"/>
  <c r="A310" i="6" a="1"/>
  <c r="A310" i="6" s="1"/>
  <c r="A311" i="6" a="1"/>
  <c r="A311" i="6"/>
  <c r="A312" i="6" a="1"/>
  <c r="A312" i="6" s="1"/>
  <c r="A313" i="6" a="1"/>
  <c r="A313" i="6" s="1"/>
  <c r="A314" i="6" a="1"/>
  <c r="A314" i="6" s="1"/>
  <c r="E301" i="6"/>
  <c r="E302" i="6"/>
  <c r="E303" i="6"/>
  <c r="E304" i="6"/>
  <c r="E305" i="6"/>
  <c r="E306" i="6"/>
  <c r="E307" i="6"/>
  <c r="E308" i="6"/>
  <c r="E309" i="6"/>
  <c r="E310" i="6"/>
  <c r="E311" i="6"/>
  <c r="E295" i="6"/>
  <c r="A295" i="6" s="1" a="1"/>
  <c r="A295" i="6" s="1"/>
  <c r="E296" i="6"/>
  <c r="A296" i="6" s="1" a="1"/>
  <c r="A296" i="6" s="1"/>
  <c r="E297" i="6"/>
  <c r="E298" i="6"/>
  <c r="E299" i="6"/>
  <c r="E300" i="6"/>
  <c r="A291" i="6" a="1"/>
  <c r="A291" i="6"/>
  <c r="A292" i="6" a="1"/>
  <c r="A292" i="6" s="1"/>
  <c r="A293" i="6" a="1"/>
  <c r="A293" i="6"/>
  <c r="A294" i="6" a="1"/>
  <c r="A294" i="6"/>
  <c r="A297" i="6" a="1"/>
  <c r="A297" i="6" s="1"/>
  <c r="A298" i="6" a="1"/>
  <c r="A298" i="6" s="1"/>
  <c r="A299" i="6" a="1"/>
  <c r="A299" i="6" s="1"/>
  <c r="A26" i="6" a="1"/>
  <c r="A26" i="6" s="1"/>
  <c r="D26" i="6" s="1"/>
  <c r="A27" i="6" a="1"/>
  <c r="A27" i="6" s="1"/>
  <c r="D27" i="6" s="1"/>
  <c r="A28" i="6" a="1"/>
  <c r="A28" i="6" s="1"/>
  <c r="D28" i="6" s="1"/>
  <c r="A29" i="6" a="1"/>
  <c r="A29" i="6"/>
  <c r="D29" i="6" s="1"/>
  <c r="A30" i="6" a="1"/>
  <c r="A30" i="6" s="1"/>
  <c r="D30" i="6" s="1"/>
  <c r="A31" i="6" a="1"/>
  <c r="A31" i="6" s="1"/>
  <c r="D31" i="6" s="1"/>
  <c r="A32" i="6" a="1"/>
  <c r="A32" i="6" s="1"/>
  <c r="D32" i="6" s="1"/>
  <c r="A33" i="6" a="1"/>
  <c r="A33" i="6"/>
  <c r="A34" i="6" a="1"/>
  <c r="A34" i="6" s="1"/>
  <c r="D34" i="6" s="1"/>
  <c r="A35" i="6" a="1"/>
  <c r="A35" i="6" s="1"/>
  <c r="D35" i="6" s="1"/>
  <c r="A36" i="6" a="1"/>
  <c r="A36" i="6" s="1"/>
  <c r="D36" i="6" s="1"/>
  <c r="A37" i="6" a="1"/>
  <c r="A37" i="6"/>
  <c r="A38" i="6" a="1"/>
  <c r="A38" i="6" s="1"/>
  <c r="A39" i="6" a="1"/>
  <c r="A39" i="6" s="1"/>
  <c r="A40" i="6" a="1"/>
  <c r="A40" i="6" s="1"/>
  <c r="A41" i="6" a="1"/>
  <c r="A41" i="6"/>
  <c r="A42" i="6" a="1"/>
  <c r="A42" i="6" s="1"/>
  <c r="A43" i="6" a="1"/>
  <c r="A43" i="6" s="1"/>
  <c r="A44" i="6" a="1"/>
  <c r="A44" i="6" s="1"/>
  <c r="A45" i="6" a="1"/>
  <c r="A45" i="6"/>
  <c r="A46" i="6" a="1"/>
  <c r="A46" i="6" s="1"/>
  <c r="A47" i="6" a="1"/>
  <c r="A47" i="6" s="1"/>
  <c r="A48" i="6" a="1"/>
  <c r="A48" i="6" s="1"/>
  <c r="A49" i="6" a="1"/>
  <c r="A49" i="6"/>
  <c r="A50" i="6" a="1"/>
  <c r="A50" i="6" s="1"/>
  <c r="A51" i="6" a="1"/>
  <c r="A51" i="6" s="1"/>
  <c r="A52" i="6" a="1"/>
  <c r="A52" i="6" s="1"/>
  <c r="A53" i="6" a="1"/>
  <c r="A53" i="6"/>
  <c r="A54" i="6" a="1"/>
  <c r="A54" i="6" s="1"/>
  <c r="A55" i="6" a="1"/>
  <c r="A55" i="6" s="1"/>
  <c r="A56" i="6" a="1"/>
  <c r="A56" i="6" s="1"/>
  <c r="A57" i="6" a="1"/>
  <c r="A57" i="6"/>
  <c r="A58" i="6" a="1"/>
  <c r="A58" i="6" s="1"/>
  <c r="A59" i="6" a="1"/>
  <c r="A59" i="6" s="1"/>
  <c r="A60" i="6" a="1"/>
  <c r="A60" i="6" s="1"/>
  <c r="A61" i="6" a="1"/>
  <c r="A61" i="6"/>
  <c r="A62" i="6" a="1"/>
  <c r="A62" i="6" s="1"/>
  <c r="A63" i="6" a="1"/>
  <c r="A63" i="6" s="1"/>
  <c r="A64" i="6" a="1"/>
  <c r="A64" i="6" s="1"/>
  <c r="A65" i="6" a="1"/>
  <c r="A65" i="6"/>
  <c r="A66" i="6" a="1"/>
  <c r="A66" i="6" s="1"/>
  <c r="A67" i="6" a="1"/>
  <c r="A67" i="6" s="1"/>
  <c r="A68" i="6" a="1"/>
  <c r="A68" i="6" s="1"/>
  <c r="A69" i="6" a="1"/>
  <c r="A69" i="6"/>
  <c r="A70" i="6" a="1"/>
  <c r="A70" i="6" s="1"/>
  <c r="A71" i="6" a="1"/>
  <c r="A71" i="6" s="1"/>
  <c r="A72" i="6" a="1"/>
  <c r="A72" i="6" s="1"/>
  <c r="A73" i="6" a="1"/>
  <c r="A73" i="6"/>
  <c r="A74" i="6" a="1"/>
  <c r="A74" i="6" s="1"/>
  <c r="A75" i="6" a="1"/>
  <c r="A75" i="6" s="1"/>
  <c r="A76" i="6" a="1"/>
  <c r="A76" i="6" s="1"/>
  <c r="A77" i="6" a="1"/>
  <c r="A77" i="6"/>
  <c r="A78" i="6" a="1"/>
  <c r="A78" i="6" s="1"/>
  <c r="A79" i="6" a="1"/>
  <c r="A79" i="6" s="1"/>
  <c r="A80" i="6" a="1"/>
  <c r="A80" i="6" s="1"/>
  <c r="A81" i="6" a="1"/>
  <c r="A81" i="6"/>
  <c r="A82" i="6" a="1"/>
  <c r="A82" i="6" s="1"/>
  <c r="A83" i="6" a="1"/>
  <c r="A83" i="6" s="1"/>
  <c r="A84" i="6" a="1"/>
  <c r="A84" i="6" s="1"/>
  <c r="A85" i="6" a="1"/>
  <c r="A85" i="6"/>
  <c r="A86" i="6" a="1"/>
  <c r="A86" i="6" s="1"/>
  <c r="A87" i="6" a="1"/>
  <c r="A87" i="6" s="1"/>
  <c r="A88" i="6" a="1"/>
  <c r="A88" i="6" s="1"/>
  <c r="A89" i="6" a="1"/>
  <c r="A89" i="6"/>
  <c r="A90" i="6" a="1"/>
  <c r="A90" i="6" s="1"/>
  <c r="A91" i="6" a="1"/>
  <c r="A91" i="6" s="1"/>
  <c r="A92" i="6" a="1"/>
  <c r="A92" i="6" s="1"/>
  <c r="A93" i="6" a="1"/>
  <c r="A93" i="6"/>
  <c r="A94" i="6" a="1"/>
  <c r="A94" i="6" s="1"/>
  <c r="A95" i="6" a="1"/>
  <c r="A95" i="6" s="1"/>
  <c r="A96" i="6" a="1"/>
  <c r="A96" i="6" s="1"/>
  <c r="A97" i="6" a="1"/>
  <c r="A97" i="6"/>
  <c r="A98" i="6" a="1"/>
  <c r="A98" i="6" s="1"/>
  <c r="A99" i="6" a="1"/>
  <c r="A99" i="6" s="1"/>
  <c r="A100" i="6" a="1"/>
  <c r="A100" i="6" s="1"/>
  <c r="A101" i="6" a="1"/>
  <c r="A101" i="6"/>
  <c r="A102" i="6" a="1"/>
  <c r="A102" i="6" s="1"/>
  <c r="A103" i="6" a="1"/>
  <c r="A103" i="6" s="1"/>
  <c r="A104" i="6" a="1"/>
  <c r="A104" i="6" s="1"/>
  <c r="A105" i="6" a="1"/>
  <c r="A105" i="6"/>
  <c r="A106" i="6" a="1"/>
  <c r="A106" i="6" s="1"/>
  <c r="A107" i="6" a="1"/>
  <c r="A107" i="6" s="1"/>
  <c r="A108" i="6" a="1"/>
  <c r="A108" i="6" s="1"/>
  <c r="A109" i="6" a="1"/>
  <c r="A109" i="6"/>
  <c r="A110" i="6" a="1"/>
  <c r="A110" i="6" s="1"/>
  <c r="A111" i="6" a="1"/>
  <c r="A111" i="6" s="1"/>
  <c r="A112" i="6" a="1"/>
  <c r="A112" i="6" s="1"/>
  <c r="A113" i="6" a="1"/>
  <c r="A113" i="6"/>
  <c r="A114" i="6" a="1"/>
  <c r="A114" i="6" s="1"/>
  <c r="A115" i="6" a="1"/>
  <c r="A115" i="6" s="1"/>
  <c r="A116" i="6" a="1"/>
  <c r="A116" i="6" s="1"/>
  <c r="A117" i="6" a="1"/>
  <c r="A117" i="6"/>
  <c r="A118" i="6" a="1"/>
  <c r="A118" i="6" s="1"/>
  <c r="A119" i="6" a="1"/>
  <c r="A119" i="6" s="1"/>
  <c r="A120" i="6" a="1"/>
  <c r="A120" i="6" s="1"/>
  <c r="A121" i="6" a="1"/>
  <c r="A121" i="6"/>
  <c r="A122" i="6" a="1"/>
  <c r="A122" i="6" s="1"/>
  <c r="A123" i="6" a="1"/>
  <c r="A123" i="6" s="1"/>
  <c r="A124" i="6" a="1"/>
  <c r="A124" i="6" s="1"/>
  <c r="A125" i="6" a="1"/>
  <c r="A125" i="6"/>
  <c r="A126" i="6" a="1"/>
  <c r="A126" i="6" s="1"/>
  <c r="A127" i="6" a="1"/>
  <c r="A127" i="6" s="1"/>
  <c r="A128" i="6" a="1"/>
  <c r="A128" i="6" s="1"/>
  <c r="A129" i="6" a="1"/>
  <c r="A129" i="6"/>
  <c r="A130" i="6" a="1"/>
  <c r="A130" i="6" s="1"/>
  <c r="A131" i="6" a="1"/>
  <c r="A131" i="6" s="1"/>
  <c r="A132" i="6" a="1"/>
  <c r="A132" i="6" s="1"/>
  <c r="A133" i="6" a="1"/>
  <c r="A133" i="6"/>
  <c r="A134" i="6" a="1"/>
  <c r="A134" i="6" s="1"/>
  <c r="A135" i="6" a="1"/>
  <c r="A135" i="6" s="1"/>
  <c r="A136" i="6" a="1"/>
  <c r="A136" i="6" s="1"/>
  <c r="A137" i="6" a="1"/>
  <c r="A137" i="6"/>
  <c r="A138" i="6" a="1"/>
  <c r="A138" i="6" s="1"/>
  <c r="A139" i="6" a="1"/>
  <c r="A139" i="6" s="1"/>
  <c r="A140" i="6" a="1"/>
  <c r="A140" i="6" s="1"/>
  <c r="A141" i="6" a="1"/>
  <c r="A141" i="6"/>
  <c r="A142" i="6" a="1"/>
  <c r="A142" i="6" s="1"/>
  <c r="A143" i="6" a="1"/>
  <c r="A143" i="6" s="1"/>
  <c r="A144" i="6" a="1"/>
  <c r="A144" i="6" s="1"/>
  <c r="A145" i="6" a="1"/>
  <c r="A145" i="6"/>
  <c r="A146" i="6" a="1"/>
  <c r="A146" i="6" s="1"/>
  <c r="A147" i="6" a="1"/>
  <c r="A147" i="6" s="1"/>
  <c r="A148" i="6" a="1"/>
  <c r="A148" i="6" s="1"/>
  <c r="A149" i="6" a="1"/>
  <c r="A149" i="6"/>
  <c r="A150" i="6" a="1"/>
  <c r="A150" i="6" s="1"/>
  <c r="A151" i="6" a="1"/>
  <c r="A151" i="6" s="1"/>
  <c r="A152" i="6" a="1"/>
  <c r="A152" i="6" s="1"/>
  <c r="A153" i="6" a="1"/>
  <c r="A153" i="6"/>
  <c r="A154" i="6" a="1"/>
  <c r="A154" i="6" s="1"/>
  <c r="A155" i="6" a="1"/>
  <c r="A155" i="6" s="1"/>
  <c r="A156" i="6" a="1"/>
  <c r="A156" i="6" s="1"/>
  <c r="A157" i="6" a="1"/>
  <c r="A157" i="6"/>
  <c r="A158" i="6" a="1"/>
  <c r="A158" i="6" s="1"/>
  <c r="A159" i="6" a="1"/>
  <c r="A159" i="6" s="1"/>
  <c r="A160" i="6" a="1"/>
  <c r="A160" i="6" s="1"/>
  <c r="A161" i="6" a="1"/>
  <c r="A161" i="6"/>
  <c r="A162" i="6" a="1"/>
  <c r="A162" i="6" s="1"/>
  <c r="A163" i="6" a="1"/>
  <c r="A163" i="6" s="1"/>
  <c r="A164" i="6" a="1"/>
  <c r="A164" i="6" s="1"/>
  <c r="A165" i="6" a="1"/>
  <c r="A165" i="6"/>
  <c r="A166" i="6" a="1"/>
  <c r="A166" i="6" s="1"/>
  <c r="A167" i="6" a="1"/>
  <c r="A167" i="6" s="1"/>
  <c r="A168" i="6" a="1"/>
  <c r="A168" i="6" s="1"/>
  <c r="A169" i="6" a="1"/>
  <c r="A169" i="6"/>
  <c r="A170" i="6" a="1"/>
  <c r="A170" i="6" s="1"/>
  <c r="A171" i="6" a="1"/>
  <c r="A171" i="6" s="1"/>
  <c r="A172" i="6" a="1"/>
  <c r="A172" i="6" s="1"/>
  <c r="A173" i="6" a="1"/>
  <c r="A173" i="6"/>
  <c r="A174" i="6" a="1"/>
  <c r="A174" i="6" s="1"/>
  <c r="A175" i="6" a="1"/>
  <c r="A175" i="6" s="1"/>
  <c r="A176" i="6" a="1"/>
  <c r="A176" i="6" s="1"/>
  <c r="A177" i="6" a="1"/>
  <c r="A177" i="6"/>
  <c r="A178" i="6" a="1"/>
  <c r="A178" i="6" s="1"/>
  <c r="A179" i="6" a="1"/>
  <c r="A179" i="6" s="1"/>
  <c r="A180" i="6" a="1"/>
  <c r="A180" i="6" s="1"/>
  <c r="A181" i="6" a="1"/>
  <c r="A181" i="6"/>
  <c r="A182" i="6" a="1"/>
  <c r="A182" i="6" s="1"/>
  <c r="A183" i="6" a="1"/>
  <c r="A183" i="6" s="1"/>
  <c r="A184" i="6" a="1"/>
  <c r="A184" i="6" s="1"/>
  <c r="A185" i="6" a="1"/>
  <c r="A185" i="6"/>
  <c r="A186" i="6" a="1"/>
  <c r="A186" i="6" s="1"/>
  <c r="A187" i="6" a="1"/>
  <c r="A187" i="6" s="1"/>
  <c r="A188" i="6" a="1"/>
  <c r="A188" i="6" s="1"/>
  <c r="A189" i="6" a="1"/>
  <c r="A189" i="6"/>
  <c r="A190" i="6" a="1"/>
  <c r="A190" i="6" s="1"/>
  <c r="A191" i="6" a="1"/>
  <c r="A191" i="6" s="1"/>
  <c r="A192" i="6" a="1"/>
  <c r="A192" i="6" s="1"/>
  <c r="A193" i="6" a="1"/>
  <c r="A193" i="6"/>
  <c r="A194" i="6" a="1"/>
  <c r="A194" i="6" s="1"/>
  <c r="A195" i="6" a="1"/>
  <c r="A195" i="6" s="1"/>
  <c r="A196" i="6" a="1"/>
  <c r="A196" i="6" s="1"/>
  <c r="A197" i="6" a="1"/>
  <c r="A197" i="6"/>
  <c r="A198" i="6" a="1"/>
  <c r="A198" i="6" s="1"/>
  <c r="A199" i="6" a="1"/>
  <c r="A199" i="6" s="1"/>
  <c r="A200" i="6" a="1"/>
  <c r="A200" i="6" s="1"/>
  <c r="A201" i="6" a="1"/>
  <c r="A201" i="6"/>
  <c r="A202" i="6" a="1"/>
  <c r="A202" i="6" s="1"/>
  <c r="A203" i="6" a="1"/>
  <c r="A203" i="6" s="1"/>
  <c r="A204" i="6" a="1"/>
  <c r="A204" i="6" s="1"/>
  <c r="A205" i="6" a="1"/>
  <c r="A205" i="6"/>
  <c r="A206" i="6" a="1"/>
  <c r="A206" i="6" s="1"/>
  <c r="A207" i="6" a="1"/>
  <c r="A207" i="6" s="1"/>
  <c r="A208" i="6" a="1"/>
  <c r="A208" i="6" s="1"/>
  <c r="A209" i="6" a="1"/>
  <c r="A209" i="6"/>
  <c r="A210" i="6" a="1"/>
  <c r="A210" i="6" s="1"/>
  <c r="A211" i="6" a="1"/>
  <c r="A211" i="6" s="1"/>
  <c r="A212" i="6" a="1"/>
  <c r="A212" i="6" s="1"/>
  <c r="A213" i="6" a="1"/>
  <c r="A213" i="6"/>
  <c r="A214" i="6" a="1"/>
  <c r="A214" i="6" s="1"/>
  <c r="A215" i="6" a="1"/>
  <c r="A215" i="6" s="1"/>
  <c r="A216" i="6" a="1"/>
  <c r="A216" i="6" s="1"/>
  <c r="A217" i="6" a="1"/>
  <c r="A217" i="6"/>
  <c r="A218" i="6" a="1"/>
  <c r="A218" i="6" s="1"/>
  <c r="A219" i="6" a="1"/>
  <c r="A219" i="6" s="1"/>
  <c r="A220" i="6" a="1"/>
  <c r="A220" i="6" s="1"/>
  <c r="A221" i="6" a="1"/>
  <c r="A221" i="6"/>
  <c r="A222" i="6" a="1"/>
  <c r="A222" i="6" s="1"/>
  <c r="A223" i="6" a="1"/>
  <c r="A223" i="6" s="1"/>
  <c r="A224" i="6" a="1"/>
  <c r="A224" i="6" s="1"/>
  <c r="A225" i="6" a="1"/>
  <c r="A225" i="6"/>
  <c r="A226" i="6" a="1"/>
  <c r="A226" i="6" s="1"/>
  <c r="A227" i="6" a="1"/>
  <c r="A227" i="6" s="1"/>
  <c r="A228" i="6" a="1"/>
  <c r="A228" i="6" s="1"/>
  <c r="A229" i="6" a="1"/>
  <c r="A229" i="6"/>
  <c r="A230" i="6" a="1"/>
  <c r="A230" i="6" s="1"/>
  <c r="A231" i="6" a="1"/>
  <c r="A231" i="6" s="1"/>
  <c r="A232" i="6" a="1"/>
  <c r="A232" i="6" s="1"/>
  <c r="A233" i="6" a="1"/>
  <c r="A233" i="6"/>
  <c r="A234" i="6" a="1"/>
  <c r="A234" i="6" s="1"/>
  <c r="A235" i="6" a="1"/>
  <c r="A235" i="6" s="1"/>
  <c r="A236" i="6" a="1"/>
  <c r="A236" i="6" s="1"/>
  <c r="A237" i="6" a="1"/>
  <c r="A237" i="6"/>
  <c r="A238" i="6" a="1"/>
  <c r="A238" i="6" s="1"/>
  <c r="A239" i="6" a="1"/>
  <c r="A239" i="6" s="1"/>
  <c r="A240" i="6" a="1"/>
  <c r="A240" i="6" s="1"/>
  <c r="A241" i="6" a="1"/>
  <c r="A241" i="6"/>
  <c r="A242" i="6" a="1"/>
  <c r="A242" i="6" s="1"/>
  <c r="A243" i="6" a="1"/>
  <c r="A243" i="6" s="1"/>
  <c r="A244" i="6" a="1"/>
  <c r="A244" i="6" s="1"/>
  <c r="A245" i="6" a="1"/>
  <c r="A245" i="6"/>
  <c r="A246" i="6" a="1"/>
  <c r="A246" i="6" s="1"/>
  <c r="A247" i="6" a="1"/>
  <c r="A247" i="6" s="1"/>
  <c r="A248" i="6" a="1"/>
  <c r="A248" i="6" s="1"/>
  <c r="A249" i="6" a="1"/>
  <c r="A249" i="6"/>
  <c r="A250" i="6" a="1"/>
  <c r="A250" i="6" s="1"/>
  <c r="A251" i="6" a="1"/>
  <c r="A251" i="6" s="1"/>
  <c r="A252" i="6" a="1"/>
  <c r="A252" i="6" s="1"/>
  <c r="A253" i="6" a="1"/>
  <c r="A253" i="6"/>
  <c r="A254" i="6" a="1"/>
  <c r="A254" i="6" s="1"/>
  <c r="A255" i="6" a="1"/>
  <c r="A255" i="6" s="1"/>
  <c r="A256" i="6" a="1"/>
  <c r="A256" i="6" s="1"/>
  <c r="A257" i="6" a="1"/>
  <c r="A257" i="6"/>
  <c r="A258" i="6" a="1"/>
  <c r="A258" i="6" s="1"/>
  <c r="A259" i="6" a="1"/>
  <c r="A259" i="6" s="1"/>
  <c r="A260" i="6" a="1"/>
  <c r="A260" i="6" s="1"/>
  <c r="A261" i="6" a="1"/>
  <c r="A261" i="6"/>
  <c r="A262" i="6" a="1"/>
  <c r="A262" i="6" s="1"/>
  <c r="A263" i="6" a="1"/>
  <c r="A263" i="6" s="1"/>
  <c r="A264" i="6" a="1"/>
  <c r="A264" i="6" s="1"/>
  <c r="A265" i="6" a="1"/>
  <c r="A265" i="6"/>
  <c r="A266" i="6" a="1"/>
  <c r="A266" i="6" s="1"/>
  <c r="A267" i="6" a="1"/>
  <c r="A267" i="6" s="1"/>
  <c r="A268" i="6" a="1"/>
  <c r="A268" i="6" s="1"/>
  <c r="A269" i="6" a="1"/>
  <c r="A269" i="6"/>
  <c r="A270" i="6" a="1"/>
  <c r="A270" i="6" s="1"/>
  <c r="A271" i="6" a="1"/>
  <c r="A271" i="6" s="1"/>
  <c r="A272" i="6" a="1"/>
  <c r="A272" i="6" s="1"/>
  <c r="A273" i="6" a="1"/>
  <c r="A273" i="6"/>
  <c r="A274" i="6" a="1"/>
  <c r="A274" i="6" s="1"/>
  <c r="A275" i="6" a="1"/>
  <c r="A275" i="6" s="1"/>
  <c r="A276" i="6" a="1"/>
  <c r="A276" i="6" s="1"/>
  <c r="A277" i="6" a="1"/>
  <c r="A277" i="6"/>
  <c r="A278" i="6" a="1"/>
  <c r="A278" i="6" s="1"/>
  <c r="A279" i="6" a="1"/>
  <c r="A279" i="6" s="1"/>
  <c r="A280" i="6" a="1"/>
  <c r="A280" i="6" s="1"/>
  <c r="A281" i="6" a="1"/>
  <c r="A281" i="6"/>
  <c r="A282" i="6" a="1"/>
  <c r="A282" i="6" s="1"/>
  <c r="A283" i="6" a="1"/>
  <c r="A283" i="6" s="1"/>
  <c r="A284" i="6" a="1"/>
  <c r="A284" i="6" s="1"/>
  <c r="A285" i="6" a="1"/>
  <c r="A285" i="6"/>
  <c r="A286" i="6" a="1"/>
  <c r="A286" i="6" s="1"/>
  <c r="A287" i="6" a="1"/>
  <c r="A287" i="6" s="1"/>
  <c r="A288" i="6" a="1"/>
  <c r="A288" i="6" s="1"/>
  <c r="A289" i="6" a="1"/>
  <c r="A289" i="6"/>
  <c r="A290" i="6" a="1"/>
  <c r="A290" i="6" s="1"/>
  <c r="D2" i="6"/>
  <c r="C25" i="6" a="1"/>
  <c r="C25" i="6" s="1"/>
  <c r="C3" i="6" a="1"/>
  <c r="C3" i="6"/>
  <c r="C4" i="6" a="1"/>
  <c r="C4" i="6" s="1"/>
  <c r="C5" i="6" a="1"/>
  <c r="C5" i="6" s="1"/>
  <c r="C6" i="6" a="1"/>
  <c r="C6" i="6"/>
  <c r="C7" i="6" a="1"/>
  <c r="C7" i="6"/>
  <c r="C8" i="6" a="1"/>
  <c r="C8" i="6" s="1"/>
  <c r="C9" i="6" a="1"/>
  <c r="C9" i="6" s="1"/>
  <c r="C10" i="6" a="1"/>
  <c r="C10" i="6"/>
  <c r="C11" i="6" a="1"/>
  <c r="C11" i="6"/>
  <c r="C12" i="6" a="1"/>
  <c r="C12" i="6" s="1"/>
  <c r="C13" i="6" a="1"/>
  <c r="C13" i="6" s="1"/>
  <c r="C14" i="6" a="1"/>
  <c r="C14" i="6"/>
  <c r="C15" i="6" a="1"/>
  <c r="C15" i="6"/>
  <c r="C16" i="6" a="1"/>
  <c r="C16" i="6" s="1"/>
  <c r="C17" i="6" a="1"/>
  <c r="C17" i="6" s="1"/>
  <c r="C18" i="6" a="1"/>
  <c r="C18" i="6"/>
  <c r="C19" i="6" a="1"/>
  <c r="C19" i="6"/>
  <c r="C20" i="6" a="1"/>
  <c r="C20" i="6" s="1"/>
  <c r="C21" i="6" a="1"/>
  <c r="C21" i="6" s="1"/>
  <c r="C22" i="6" a="1"/>
  <c r="C22" i="6"/>
  <c r="C23" i="6" a="1"/>
  <c r="C23" i="6"/>
  <c r="C24" i="6" a="1"/>
  <c r="C24" i="6" s="1"/>
  <c r="C2" i="6" a="1"/>
  <c r="C2" i="6" s="1"/>
  <c r="B3" i="6"/>
  <c r="B4" i="6"/>
  <c r="B5" i="6"/>
  <c r="B6" i="6"/>
  <c r="B7" i="6"/>
  <c r="B8" i="6"/>
  <c r="B9" i="6"/>
  <c r="B10" i="6"/>
  <c r="B11" i="6"/>
  <c r="B12" i="6"/>
  <c r="B13" i="6"/>
  <c r="B14" i="6"/>
  <c r="B15" i="6"/>
  <c r="B16" i="6"/>
  <c r="B17" i="6"/>
  <c r="B18" i="6"/>
  <c r="B19" i="6"/>
  <c r="B20" i="6"/>
  <c r="B21" i="6"/>
  <c r="B22" i="6"/>
  <c r="B23" i="6"/>
  <c r="B24" i="6"/>
  <c r="B25" i="6"/>
  <c r="A3" i="6" a="1"/>
  <c r="A3" i="6" s="1"/>
  <c r="D3" i="6" s="1"/>
  <c r="A4" i="6" a="1"/>
  <c r="A4" i="6" s="1"/>
  <c r="D4" i="6" s="1"/>
  <c r="A5" i="6" a="1"/>
  <c r="A5" i="6" s="1"/>
  <c r="D5" i="6" s="1"/>
  <c r="A6" i="6" a="1"/>
  <c r="A6" i="6"/>
  <c r="D6" i="6" s="1"/>
  <c r="A7" i="6" a="1"/>
  <c r="A7" i="6" s="1"/>
  <c r="D7" i="6" s="1"/>
  <c r="A8" i="6" a="1"/>
  <c r="A8" i="6" s="1"/>
  <c r="D8" i="6" s="1"/>
  <c r="A9" i="6" a="1"/>
  <c r="A9" i="6" s="1"/>
  <c r="D9" i="6" s="1"/>
  <c r="A10" i="6" a="1"/>
  <c r="A10" i="6"/>
  <c r="D10" i="6" s="1"/>
  <c r="A11" i="6" a="1"/>
  <c r="A11" i="6" s="1"/>
  <c r="D11" i="6" s="1"/>
  <c r="A12" i="6" a="1"/>
  <c r="A12" i="6" s="1"/>
  <c r="D12" i="6" s="1"/>
  <c r="A13" i="6" a="1"/>
  <c r="A13" i="6" s="1"/>
  <c r="D13" i="6" s="1"/>
  <c r="A14" i="6" a="1"/>
  <c r="A14" i="6"/>
  <c r="D14" i="6" s="1"/>
  <c r="A15" i="6" a="1"/>
  <c r="A15" i="6" s="1"/>
  <c r="D15" i="6" s="1"/>
  <c r="A16" i="6" a="1"/>
  <c r="A16" i="6" s="1"/>
  <c r="D16" i="6" s="1"/>
  <c r="A17" i="6" a="1"/>
  <c r="A17" i="6" s="1"/>
  <c r="D17" i="6" s="1"/>
  <c r="A18" i="6" a="1"/>
  <c r="A18" i="6"/>
  <c r="D18" i="6" s="1"/>
  <c r="A19" i="6" a="1"/>
  <c r="A19" i="6" s="1"/>
  <c r="D19" i="6" s="1"/>
  <c r="A20" i="6" a="1"/>
  <c r="A20" i="6" s="1"/>
  <c r="D20" i="6" s="1"/>
  <c r="A21" i="6" a="1"/>
  <c r="A21" i="6" s="1"/>
  <c r="D21" i="6" s="1"/>
  <c r="A22" i="6" a="1"/>
  <c r="A22" i="6"/>
  <c r="D22" i="6" s="1"/>
  <c r="A23" i="6" a="1"/>
  <c r="A23" i="6" s="1"/>
  <c r="D23" i="6" s="1"/>
  <c r="A24" i="6" a="1"/>
  <c r="A24" i="6" s="1"/>
  <c r="D24" i="6" s="1"/>
  <c r="A25" i="6" a="1"/>
  <c r="A25" i="6" s="1"/>
  <c r="D25" i="6" s="1"/>
  <c r="A2" i="6" a="1"/>
  <c r="A2" i="6" s="1"/>
  <c r="B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 i="6"/>
  <c r="D33" i="6"/>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B64" i="4" s="1"/>
  <c r="B2" i="4"/>
  <c r="J64" i="4"/>
  <c r="K64" i="4" s="1"/>
  <c r="J63" i="4"/>
  <c r="K63" i="4" s="1"/>
  <c r="J62" i="4"/>
  <c r="K62" i="4" s="1"/>
  <c r="J61" i="4"/>
  <c r="K61" i="4" s="1"/>
  <c r="J60" i="4"/>
  <c r="K60" i="4" s="1"/>
  <c r="J59" i="4"/>
  <c r="K59" i="4" s="1"/>
  <c r="J58" i="4"/>
  <c r="K58" i="4" s="1"/>
  <c r="J57" i="4"/>
  <c r="K57" i="4" s="1"/>
  <c r="J56" i="4"/>
  <c r="K56" i="4" s="1"/>
  <c r="J55" i="4"/>
  <c r="K55" i="4" s="1"/>
  <c r="J54" i="4"/>
  <c r="K54" i="4" s="1"/>
  <c r="J53" i="4"/>
  <c r="K53" i="4" s="1"/>
  <c r="J52" i="4"/>
  <c r="K52" i="4" s="1"/>
  <c r="J51" i="4"/>
  <c r="K51" i="4" s="1"/>
  <c r="J50" i="4"/>
  <c r="K50" i="4" s="1"/>
  <c r="J49" i="4"/>
  <c r="K49" i="4" s="1"/>
  <c r="J48" i="4"/>
  <c r="K48" i="4" s="1"/>
  <c r="J47" i="4"/>
  <c r="K47" i="4" s="1"/>
  <c r="J46" i="4"/>
  <c r="K46" i="4" s="1"/>
  <c r="J45" i="4"/>
  <c r="K45" i="4" s="1"/>
  <c r="J44" i="4"/>
  <c r="K44" i="4" s="1"/>
  <c r="J43" i="4"/>
  <c r="K43" i="4" s="1"/>
  <c r="J42" i="4"/>
  <c r="K42" i="4" s="1"/>
  <c r="J41" i="4"/>
  <c r="K41" i="4" s="1"/>
  <c r="J40" i="4"/>
  <c r="K40" i="4" s="1"/>
  <c r="J39" i="4"/>
  <c r="K39" i="4" s="1"/>
  <c r="J38" i="4"/>
  <c r="K38" i="4" s="1"/>
  <c r="J37" i="4"/>
  <c r="K37" i="4" s="1"/>
  <c r="J36" i="4"/>
  <c r="K36" i="4" s="1"/>
  <c r="J35" i="4"/>
  <c r="K35" i="4" s="1"/>
  <c r="J34" i="4"/>
  <c r="K34" i="4" s="1"/>
  <c r="J33" i="4"/>
  <c r="K33" i="4" s="1"/>
  <c r="J32" i="4"/>
  <c r="K32" i="4" s="1"/>
  <c r="J31" i="4"/>
  <c r="K31" i="4" s="1"/>
  <c r="J30" i="4"/>
  <c r="K30" i="4" s="1"/>
  <c r="J29" i="4"/>
  <c r="K29" i="4" s="1"/>
  <c r="J28" i="4"/>
  <c r="K28" i="4" s="1"/>
  <c r="J27" i="4"/>
  <c r="K27" i="4" s="1"/>
  <c r="J26" i="4"/>
  <c r="K26" i="4" s="1"/>
  <c r="J25" i="4"/>
  <c r="K25" i="4" s="1"/>
  <c r="J24" i="4"/>
  <c r="K24" i="4" s="1"/>
  <c r="J23" i="4"/>
  <c r="K23" i="4" s="1"/>
  <c r="J22" i="4"/>
  <c r="K22" i="4" s="1"/>
  <c r="J21" i="4"/>
  <c r="K21" i="4" s="1"/>
  <c r="J20" i="4"/>
  <c r="K20" i="4" s="1"/>
  <c r="J19" i="4"/>
  <c r="K19" i="4" s="1"/>
  <c r="J18" i="4"/>
  <c r="K18" i="4" s="1"/>
  <c r="J17" i="4"/>
  <c r="K17" i="4" s="1"/>
  <c r="J16" i="4"/>
  <c r="K16" i="4" s="1"/>
  <c r="J15" i="4"/>
  <c r="K15" i="4" s="1"/>
  <c r="J14" i="4"/>
  <c r="K14" i="4" s="1"/>
  <c r="J13" i="4"/>
  <c r="K13" i="4" s="1"/>
  <c r="J12" i="4"/>
  <c r="K12" i="4" s="1"/>
  <c r="J11" i="4"/>
  <c r="K11" i="4" s="1"/>
  <c r="J10" i="4"/>
  <c r="K10" i="4" s="1"/>
  <c r="J9" i="4"/>
  <c r="K9" i="4" s="1"/>
  <c r="J8" i="4"/>
  <c r="K8" i="4" s="1"/>
  <c r="K7" i="4"/>
  <c r="K6" i="4"/>
  <c r="K5" i="4"/>
  <c r="K4" i="4"/>
  <c r="K3" i="4"/>
  <c r="R13" i="1"/>
  <c r="T2" i="1"/>
  <c r="K4" i="1"/>
  <c r="K5" i="1"/>
  <c r="K6" i="1"/>
  <c r="K7" i="1"/>
  <c r="I9" i="3"/>
  <c r="H9" i="3"/>
  <c r="G9" i="3"/>
  <c r="F9" i="3"/>
  <c r="D9" i="3"/>
  <c r="C9" i="3"/>
  <c r="E8" i="3"/>
  <c r="E7" i="3"/>
  <c r="E9" i="3" s="1"/>
  <c r="E6" i="3"/>
  <c r="H1" i="3"/>
  <c r="J1" i="3" s="1"/>
  <c r="L1" i="3" s="1"/>
  <c r="N1" i="3" s="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Q14" i="1"/>
  <c r="N14" i="1"/>
  <c r="J14" i="1"/>
  <c r="O13" i="1"/>
  <c r="J13" i="1"/>
  <c r="R12" i="1"/>
  <c r="O12" i="1"/>
  <c r="J12" i="1"/>
  <c r="R11" i="1"/>
  <c r="O11" i="1"/>
  <c r="J11" i="1"/>
  <c r="U10" i="1"/>
  <c r="R10" i="1"/>
  <c r="O10" i="1"/>
  <c r="J10" i="1"/>
  <c r="R9" i="1"/>
  <c r="O9" i="1"/>
  <c r="J9" i="1"/>
  <c r="R8" i="1"/>
  <c r="O8" i="1"/>
  <c r="J8" i="1"/>
  <c r="K8" i="1" s="1"/>
  <c r="B8" i="1"/>
  <c r="B9" i="1" s="1"/>
  <c r="B10" i="1" s="1"/>
  <c r="B11" i="1" s="1"/>
  <c r="B12" i="1" s="1"/>
  <c r="B13" i="1" s="1"/>
  <c r="B1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A8" i="1"/>
  <c r="A9" i="1" s="1"/>
  <c r="A10" i="1" s="1"/>
  <c r="A11" i="1" s="1"/>
  <c r="A12" i="1" s="1"/>
  <c r="A13" i="1" s="1"/>
  <c r="A1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U7" i="1"/>
  <c r="R7" i="1"/>
  <c r="O7" i="1"/>
  <c r="R6" i="1"/>
  <c r="O6" i="1"/>
  <c r="R5" i="1"/>
  <c r="O5" i="1"/>
  <c r="U4" i="1"/>
  <c r="R4" i="1"/>
  <c r="O4" i="1"/>
  <c r="R3" i="1"/>
  <c r="O3" i="1"/>
  <c r="K3" i="1"/>
  <c r="B3" i="1"/>
  <c r="B4" i="1" s="1"/>
  <c r="A3" i="1"/>
  <c r="A4" i="1" s="1"/>
  <c r="S2" i="1"/>
  <c r="R2" i="1"/>
  <c r="O2" i="1"/>
  <c r="AH12" i="7" l="1"/>
  <c r="J7" i="7"/>
  <c r="N7" i="7"/>
  <c r="AH11" i="7"/>
  <c r="J6" i="7"/>
  <c r="AH10" i="7"/>
  <c r="AH17" i="7"/>
  <c r="AH9" i="7"/>
  <c r="AH4" i="7"/>
  <c r="B6" i="7"/>
  <c r="AH16" i="7"/>
  <c r="AH8" i="7"/>
  <c r="F6" i="7"/>
  <c r="AH15" i="7"/>
  <c r="AH7" i="7"/>
  <c r="AH14" i="7"/>
  <c r="AH6" i="7"/>
  <c r="N6" i="7"/>
  <c r="AH13" i="7"/>
  <c r="AH5" i="7"/>
  <c r="F2" i="5"/>
  <c r="AK4" i="7" s="1"/>
  <c r="B16" i="5"/>
  <c r="C10" i="5"/>
  <c r="C9" i="5"/>
  <c r="C8" i="5"/>
  <c r="E7" i="5"/>
  <c r="AJ9" i="7" s="1"/>
  <c r="E14" i="5"/>
  <c r="AJ16" i="7" s="1"/>
  <c r="E6" i="5"/>
  <c r="AJ8" i="7" s="1"/>
  <c r="C15" i="5"/>
  <c r="E13" i="5"/>
  <c r="AJ15" i="7" s="1"/>
  <c r="E5" i="5"/>
  <c r="AJ7" i="7" s="1"/>
  <c r="E12" i="5"/>
  <c r="AJ14" i="7" s="1"/>
  <c r="E4" i="5"/>
  <c r="AJ6" i="7" s="1"/>
  <c r="C2" i="5"/>
  <c r="E11" i="5"/>
  <c r="AJ13" i="7" s="1"/>
  <c r="E3" i="5"/>
  <c r="AJ5" i="7" s="1"/>
  <c r="B3" i="4"/>
  <c r="B50" i="4"/>
  <c r="B42" i="4"/>
  <c r="B58" i="4"/>
  <c r="B18" i="4"/>
  <c r="B41" i="4"/>
  <c r="B25" i="4"/>
  <c r="B48" i="4"/>
  <c r="B16" i="4"/>
  <c r="B63" i="4"/>
  <c r="B31" i="4"/>
  <c r="B15" i="4"/>
  <c r="B62" i="4"/>
  <c r="B38" i="4"/>
  <c r="B22" i="4"/>
  <c r="B53" i="4"/>
  <c r="B37" i="4"/>
  <c r="B29" i="4"/>
  <c r="B21" i="4"/>
  <c r="B13" i="4"/>
  <c r="B5" i="4"/>
  <c r="B26" i="4"/>
  <c r="B49" i="4"/>
  <c r="B17" i="4"/>
  <c r="B56" i="4"/>
  <c r="B32" i="4"/>
  <c r="B24" i="4"/>
  <c r="B55" i="4"/>
  <c r="B39" i="4"/>
  <c r="B23" i="4"/>
  <c r="B46" i="4"/>
  <c r="B14" i="4"/>
  <c r="B60" i="4"/>
  <c r="B4" i="4"/>
  <c r="B34" i="4"/>
  <c r="B10" i="4"/>
  <c r="B57" i="4"/>
  <c r="B33" i="4"/>
  <c r="B9" i="4"/>
  <c r="B40" i="4"/>
  <c r="B8" i="4"/>
  <c r="B47" i="4"/>
  <c r="B7" i="4"/>
  <c r="B54" i="4"/>
  <c r="B30" i="4"/>
  <c r="B6" i="4"/>
  <c r="B61" i="4"/>
  <c r="B45" i="4"/>
  <c r="B52" i="4"/>
  <c r="B44" i="4"/>
  <c r="B36" i="4"/>
  <c r="B28" i="4"/>
  <c r="B20" i="4"/>
  <c r="B12" i="4"/>
  <c r="B59" i="4"/>
  <c r="B51" i="4"/>
  <c r="B43" i="4"/>
  <c r="B35" i="4"/>
  <c r="B27" i="4"/>
  <c r="B19" i="4"/>
  <c r="B11" i="4"/>
  <c r="T3" i="1"/>
  <c r="K11" i="1"/>
  <c r="K18" i="1"/>
  <c r="K17" i="1"/>
  <c r="K25" i="1"/>
  <c r="K13" i="1"/>
  <c r="K9" i="1"/>
  <c r="K27" i="1"/>
  <c r="K83" i="1"/>
  <c r="K84" i="1"/>
  <c r="K20" i="1"/>
  <c r="K28" i="1"/>
  <c r="K60" i="1"/>
  <c r="K29" i="1"/>
  <c r="K53" i="1"/>
  <c r="K12" i="1"/>
  <c r="K15" i="1"/>
  <c r="K23" i="1"/>
  <c r="K19" i="1"/>
  <c r="K59" i="1"/>
  <c r="K99" i="1"/>
  <c r="K44" i="1"/>
  <c r="K68" i="1"/>
  <c r="K92" i="1"/>
  <c r="K10" i="1"/>
  <c r="K16" i="1"/>
  <c r="K24" i="1"/>
  <c r="K35" i="1"/>
  <c r="K51" i="1"/>
  <c r="K75" i="1"/>
  <c r="K14" i="1"/>
  <c r="K36" i="1"/>
  <c r="K21" i="1"/>
  <c r="K22" i="1"/>
  <c r="K102" i="1"/>
  <c r="K33" i="1"/>
  <c r="K32" i="1"/>
  <c r="K39" i="1"/>
  <c r="K47" i="1"/>
  <c r="K63" i="1"/>
  <c r="K71" i="1"/>
  <c r="K87" i="1"/>
  <c r="K95" i="1"/>
  <c r="K48" i="1"/>
  <c r="K80" i="1"/>
  <c r="K104" i="1"/>
  <c r="K26" i="1"/>
  <c r="K41" i="1"/>
  <c r="K57" i="1"/>
  <c r="K65" i="1"/>
  <c r="K81" i="1"/>
  <c r="K89" i="1"/>
  <c r="K105" i="1"/>
  <c r="K30" i="1"/>
  <c r="K45" i="1"/>
  <c r="K77" i="1"/>
  <c r="K101" i="1"/>
  <c r="K38" i="1"/>
  <c r="K54" i="1"/>
  <c r="K62" i="1"/>
  <c r="K78" i="1"/>
  <c r="K56" i="1"/>
  <c r="K72" i="1"/>
  <c r="K96" i="1"/>
  <c r="K34" i="1"/>
  <c r="K42" i="1"/>
  <c r="K50" i="1"/>
  <c r="K66" i="1"/>
  <c r="K74" i="1"/>
  <c r="K90" i="1"/>
  <c r="K98" i="1"/>
  <c r="K69" i="1"/>
  <c r="K93" i="1"/>
  <c r="K86" i="1"/>
  <c r="S3" i="1"/>
  <c r="S4" i="1" s="1"/>
  <c r="S5" i="1" s="1"/>
  <c r="S6" i="1" s="1"/>
  <c r="S7" i="1" s="1"/>
  <c r="S8" i="1" s="1"/>
  <c r="S9" i="1" s="1"/>
  <c r="S10" i="1" s="1"/>
  <c r="S11" i="1" s="1"/>
  <c r="S12" i="1" s="1"/>
  <c r="K46" i="1"/>
  <c r="K70" i="1"/>
  <c r="K82" i="1"/>
  <c r="K88" i="1"/>
  <c r="K94" i="1"/>
  <c r="K106" i="1"/>
  <c r="K64" i="1"/>
  <c r="K40" i="1"/>
  <c r="K58" i="1"/>
  <c r="K76" i="1"/>
  <c r="K100" i="1"/>
  <c r="K31" i="1"/>
  <c r="K37" i="1"/>
  <c r="K43" i="1"/>
  <c r="K49" i="1"/>
  <c r="O14" i="1"/>
  <c r="K52" i="1"/>
  <c r="K55" i="1"/>
  <c r="K61" i="1"/>
  <c r="K67" i="1"/>
  <c r="K73" i="1"/>
  <c r="K79" i="1"/>
  <c r="K85" i="1"/>
  <c r="K91" i="1"/>
  <c r="K97" i="1"/>
  <c r="K103" i="1"/>
  <c r="C16" i="5" l="1"/>
  <c r="F3" i="5"/>
  <c r="AK5" i="7" s="1"/>
  <c r="E16" i="5"/>
  <c r="T7" i="1"/>
  <c r="T8" i="1"/>
  <c r="T6" i="1"/>
  <c r="T10" i="1"/>
  <c r="T5" i="1"/>
  <c r="T12" i="1"/>
  <c r="T9" i="1"/>
  <c r="S13" i="1"/>
  <c r="T13" i="1"/>
  <c r="T11" i="1"/>
  <c r="T4" i="1"/>
  <c r="F4" i="5" l="1"/>
  <c r="F5" i="5" l="1"/>
  <c r="AK6" i="7"/>
  <c r="F6" i="5" l="1"/>
  <c r="AK7" i="7"/>
  <c r="F7" i="5" l="1"/>
  <c r="AK8" i="7"/>
  <c r="F8" i="5" l="1"/>
  <c r="AK9" i="7"/>
  <c r="F9" i="5" l="1"/>
  <c r="AK10" i="7"/>
  <c r="F10" i="5" l="1"/>
  <c r="AK11" i="7"/>
  <c r="F11" i="5" l="1"/>
  <c r="AK12" i="7"/>
  <c r="F12" i="5" l="1"/>
  <c r="AK13" i="7"/>
  <c r="F13" i="5" l="1"/>
  <c r="AK14" i="7"/>
  <c r="F14" i="5" l="1"/>
  <c r="AK15" i="7"/>
  <c r="F15" i="5" l="1"/>
  <c r="AK16" i="7"/>
  <c r="R6" i="7" l="1"/>
  <c r="AK17" i="7"/>
  <c r="F1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tc={570e86e3-5867-428f-8fbd-d571d5977a2c}</author>
    <author>tc={64c205b3-84f2-4d54-a401-7eef549f23bb}</author>
    <author>tc={aaa10657-e128-4ebb-bc4a-cf7a84fa7a70}</author>
    <author>tc={48022220-33fd-4396-82b3-9b054ba53eb3}</author>
    <author>tc={85e57cb7-abf7-47ea-9e90-b1d1afb61056}</author>
    <author>tc={66fdb7c9-e549-43b4-8fba-98a569e93f4b}</author>
    <author>tc={56505571-a893-49c2-8fe5-954192f99079}</author>
    <author>tc={783c6994-96ce-426c-884a-206988b63b5b}</author>
    <author>tc={762603b4-9e3f-48b6-8948-cbf1a5f163db}</author>
    <author>tc={5e04cb15-150f-4762-9c69-90320035d9d0}</author>
    <author>tc={30b41310-1f10-467a-9cdd-51486df2b914}</author>
    <author>tc={ee6bb0ef-4d5b-4be1-8bc0-69317e5891aa}</author>
    <author>tc={7116a2ea-5558-43b0-b227-655580333a26}</author>
    <author>tc={5ce295d6-5ee2-428c-9cf7-8d4001db8b94}</author>
    <author>tc={24207e26-dd6d-4ca5-8a60-5573e005f0fc}</author>
    <author>tc={ea555a94-0793-4567-8fd6-65062cb997fe}</author>
  </authors>
  <commentList>
    <comment ref="D7" authorId="0" shapeId="0" xr:uid="{570E86E3-5867-428F-8FBD-D571D5977A2C}">
      <text>
        <t>[Threaded comment]
Your version of Excel allows you to read this threaded comment; however, any edits to it will get removed if the file is opened in a newer version of Excel. Learn more: https://go.microsoft.com/fwlink/?linkid=870924
Comment:
    Private event Valor Capital</t>
      </text>
    </comment>
    <comment ref="I7" authorId="1" shapeId="0" xr:uid="{64C205B3-84F2-4D54-A401-7EEF549F23BB}">
      <text>
        <t>[Threaded comment]
Your version of Excel allows you to read this threaded comment; however, any edits to it will get removed if the file is opened in a newer version of Excel. Learn more: https://go.microsoft.com/fwlink/?linkid=870924
Comment:
    Superbowl Sunday / decided to close at 5pm.</t>
      </text>
    </comment>
    <comment ref="G8" authorId="2" shapeId="0" xr:uid="{AAA10657-E128-4EBB-BC4A-CF7A84FA7A70}">
      <text>
        <t>[Threaded comment]
Your version of Excel allows you to read this threaded comment; however, any edits to it will get removed if the file is opened in a newer version of Excel. Learn more: https://go.microsoft.com/fwlink/?linkid=870924
Comment:
    Valentines day</t>
      </text>
    </comment>
    <comment ref="H12" authorId="3" shapeId="0" xr:uid="{48022220-33FD-4396-82B3-9B054BA53EB3}">
      <text>
        <t>[Threaded comment]
Your version of Excel allows you to read this threaded comment; however, any edits to it will get removed if the file is opened in a newer version of Excel. Learn more: https://go.microsoft.com/fwlink/?linkid=870924
Comment:
    st Patty's weekend</t>
      </text>
    </comment>
    <comment ref="J13" authorId="4" shapeId="0" xr:uid="{85E57CB7-ABF7-47EA-9E90-B1D1AFB61056}">
      <text>
        <t>[Threaded comment]
Your version of Excel allows you to read this threaded comment; however, any edits to it will get removed if the file is opened in a newer version of Excel. Learn more: https://go.microsoft.com/fwlink/?linkid=870924
Comment:
    Started running IG ads?</t>
      </text>
    </comment>
    <comment ref="J16" authorId="5" shapeId="0" xr:uid="{66FDB7C9-E549-43B4-8FBA-98A569E93F4B}">
      <text>
        <t>[Threaded comment]
Your version of Excel allows you to read this threaded comment; however, any edits to it will get removed if the file is opened in a newer version of Excel. Learn more: https://go.microsoft.com/fwlink/?linkid=870924
Comment:
    Spring break</t>
      </text>
    </comment>
    <comment ref="I17" authorId="6" shapeId="0" xr:uid="{56505571-A893-49C2-8FE5-954192F99079}">
      <text>
        <t>[Threaded comment]
Your version of Excel allows you to read this threaded comment; however, any edits to it will get removed if the file is opened in a newer version of Excel. Learn more: https://go.microsoft.com/fwlink/?linkid=870924
Comment:
    Easter Sunday slow</t>
      </text>
    </comment>
    <comment ref="H20" authorId="7" shapeId="0" xr:uid="{783C6994-96CE-426C-884A-206988B63B5B}">
      <text>
        <t>[Threaded comment]
Your version of Excel allows you to read this threaded comment; however, any edits to it will get removed if the file is opened in a newer version of Excel. Learn more: https://go.microsoft.com/fwlink/?linkid=870924
Comment:
    Great weather all day</t>
      </text>
    </comment>
    <comment ref="I20" authorId="8" shapeId="0" xr:uid="{762603B4-9E3F-48B6-8948-CBF1A5F163DB}">
      <text>
        <t>[Threaded comment]
Your version of Excel allows you to read this threaded comment; however, any edits to it will get removed if the file is opened in a newer version of Excel. Learn more: https://go.microsoft.com/fwlink/?linkid=870924
Comment:
    Mother's Day</t>
      </text>
    </comment>
    <comment ref="H22" authorId="9" shapeId="0" xr:uid="{5E04CB15-150F-4762-9C69-90320035D9D0}">
      <text>
        <t>[Threaded comment]
Your version of Excel allows you to read this threaded comment; however, any edits to it will get removed if the file is opened in a newer version of Excel. Learn more: https://go.microsoft.com/fwlink/?linkid=870924
Comment:
    Slow dinner</t>
      </text>
    </comment>
    <comment ref="I22" authorId="10" shapeId="0" xr:uid="{30B41310-1F10-467A-9CDD-51486DF2B914}">
      <text>
        <t>[Threaded comment]
Your version of Excel allows you to read this threaded comment; however, any edits to it will get removed if the file is opened in a newer version of Excel. Learn more: https://go.microsoft.com/fwlink/?linkid=870924
Comment:
    slow lunch, rush walk-ins dinner</t>
      </text>
    </comment>
    <comment ref="C23" authorId="11" shapeId="0" xr:uid="{EE6BB0EF-4D5B-4BE1-8BC0-69317E5891AA}">
      <text>
        <t>[Threaded comment]
Your version of Excel allows you to read this threaded comment; however, any edits to it will get removed if the file is opened in a newer version of Excel. Learn more: https://go.microsoft.com/fwlink/?linkid=870924
Comment:
    Closed for Memorial day</t>
      </text>
    </comment>
    <comment ref="G23" authorId="12" shapeId="0" xr:uid="{7116A2EA-5558-43B0-B227-655580333A26}">
      <text>
        <t>[Threaded comment]
Your version of Excel allows you to read this threaded comment; however, any edits to it will get removed if the file is opened in a newer version of Excel. Learn more: https://go.microsoft.com/fwlink/?linkid=870924
Comment:
    cloudy, called patio resos to cancel, dribble rain</t>
      </text>
    </comment>
    <comment ref="C25" authorId="13" shapeId="0" xr:uid="{5CE295D6-5EE2-428C-9CF7-8D4001DB8B94}">
      <text>
        <t>[Threaded comment]
Your version of Excel allows you to read this threaded comment; however, any edits to it will get removed if the file is opened in a newer version of Excel. Learn more: https://go.microsoft.com/fwlink/?linkid=870924
Comment:
    first car show monday. Meh</t>
      </text>
    </comment>
    <comment ref="I25" authorId="14" shapeId="0" xr:uid="{24207E26-DD6D-4CA5-8A60-5573E005F0FC}">
      <text>
        <t>[Threaded comment]
Your version of Excel allows you to read this threaded comment; however, any edits to it will get removed if the file is opened in a newer version of Excel. Learn more: https://go.microsoft.com/fwlink/?linkid=870924
Comment:
    Father's day</t>
      </text>
    </comment>
    <comment ref="G30" authorId="15" shapeId="0" xr:uid="{EA555A94-0793-4567-8FD6-65062CB997FE}">
      <text>
        <t>[Threaded comment]
Your version of Excel allows you to read this threaded comment; however, any edits to it will get removed if the file is opened in a newer version of Excel. Learn more: https://go.microsoft.com/fwlink/?linkid=870924
Comment:
    Ordered 7 cs Prosecco week before and ran out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tc={2DAFEE8B-11A8-964F-8F97-38F9CAACB3FB}</author>
    <author>tc={D080A982-866D-6346-8538-AB27FD2FBC9C}</author>
    <author>tc={0EFFD31B-2298-434A-AB30-F35409B3E41B}</author>
    <author>tc={77BAEE6A-93B6-E54C-B91E-5666247733C3}</author>
    <author>tc={7D1D2A10-0C00-E34D-8193-5F2BC30516E0}</author>
    <author>tc={756FCA83-7E20-EE42-831C-030A8DDE97CB}</author>
    <author>tc={C3D65B88-E4DA-814D-B68D-B37750DDF47F}</author>
    <author>tc={A2A9D41A-278B-9E4A-9140-F0B480296541}</author>
    <author>tc={4D02FAD9-A8F8-834F-BE71-49FBA8C47022}</author>
    <author>tc={56D20771-48EE-4D48-8385-33695576B1FC}</author>
    <author>tc={1072CA2E-8230-7C45-B6AE-690AB2327F61}</author>
    <author>tc={61703071-5520-F44E-8CCF-4FD589103EA9}</author>
    <author>tc={B952492B-F8B3-6945-A73E-717F6288D3D6}</author>
    <author>tc={A676E325-02C7-624A-B473-DC309AE302B1}</author>
    <author>tc={16C48595-FBE3-714D-A927-B1ADD5C7003B}</author>
    <author>tc={A5AD46E8-250D-EC4D-8E42-74CF9A664364}</author>
  </authors>
  <commentList>
    <comment ref="D7" authorId="0" shapeId="0" xr:uid="{2DAFEE8B-11A8-964F-8F97-38F9CAACB3FB}">
      <text>
        <t>[Threaded comment]
Your version of Excel allows you to read this threaded comment; however, any edits to it will get removed if the file is opened in a newer version of Excel. Learn more: https://go.microsoft.com/fwlink/?linkid=870924
Comment:
    Private event Valor Capital</t>
      </text>
    </comment>
    <comment ref="I7" authorId="1" shapeId="0" xr:uid="{D080A982-866D-6346-8538-AB27FD2FBC9C}">
      <text>
        <t>[Threaded comment]
Your version of Excel allows you to read this threaded comment; however, any edits to it will get removed if the file is opened in a newer version of Excel. Learn more: https://go.microsoft.com/fwlink/?linkid=870924
Comment:
    Superbowl Sunday / decided to close at 5pm.</t>
      </text>
    </comment>
    <comment ref="G8" authorId="2" shapeId="0" xr:uid="{0EFFD31B-2298-434A-AB30-F35409B3E41B}">
      <text>
        <t>[Threaded comment]
Your version of Excel allows you to read this threaded comment; however, any edits to it will get removed if the file is opened in a newer version of Excel. Learn more: https://go.microsoft.com/fwlink/?linkid=870924
Comment:
    Valentines day</t>
      </text>
    </comment>
    <comment ref="H12" authorId="3" shapeId="0" xr:uid="{77BAEE6A-93B6-E54C-B91E-5666247733C3}">
      <text>
        <t>[Threaded comment]
Your version of Excel allows you to read this threaded comment; however, any edits to it will get removed if the file is opened in a newer version of Excel. Learn more: https://go.microsoft.com/fwlink/?linkid=870924
Comment:
    st Patty's weekend</t>
      </text>
    </comment>
    <comment ref="J13" authorId="4" shapeId="0" xr:uid="{7D1D2A10-0C00-E34D-8193-5F2BC30516E0}">
      <text>
        <t>[Threaded comment]
Your version of Excel allows you to read this threaded comment; however, any edits to it will get removed if the file is opened in a newer version of Excel. Learn more: https://go.microsoft.com/fwlink/?linkid=870924
Comment:
    Started running IG ads?</t>
      </text>
    </comment>
    <comment ref="J16" authorId="5" shapeId="0" xr:uid="{756FCA83-7E20-EE42-831C-030A8DDE97CB}">
      <text>
        <t>[Threaded comment]
Your version of Excel allows you to read this threaded comment; however, any edits to it will get removed if the file is opened in a newer version of Excel. Learn more: https://go.microsoft.com/fwlink/?linkid=870924
Comment:
    Spring break</t>
      </text>
    </comment>
    <comment ref="I17" authorId="6" shapeId="0" xr:uid="{C3D65B88-E4DA-814D-B68D-B37750DDF47F}">
      <text>
        <t>[Threaded comment]
Your version of Excel allows you to read this threaded comment; however, any edits to it will get removed if the file is opened in a newer version of Excel. Learn more: https://go.microsoft.com/fwlink/?linkid=870924
Comment:
    Easter Sunday slow</t>
      </text>
    </comment>
    <comment ref="H20" authorId="7" shapeId="0" xr:uid="{A2A9D41A-278B-9E4A-9140-F0B480296541}">
      <text>
        <t>[Threaded comment]
Your version of Excel allows you to read this threaded comment; however, any edits to it will get removed if the file is opened in a newer version of Excel. Learn more: https://go.microsoft.com/fwlink/?linkid=870924
Comment:
    Great weather all day</t>
      </text>
    </comment>
    <comment ref="I20" authorId="8" shapeId="0" xr:uid="{4D02FAD9-A8F8-834F-BE71-49FBA8C47022}">
      <text>
        <t>[Threaded comment]
Your version of Excel allows you to read this threaded comment; however, any edits to it will get removed if the file is opened in a newer version of Excel. Learn more: https://go.microsoft.com/fwlink/?linkid=870924
Comment:
    Mother's Day</t>
      </text>
    </comment>
    <comment ref="H22" authorId="9" shapeId="0" xr:uid="{56D20771-48EE-4D48-8385-33695576B1FC}">
      <text>
        <t>[Threaded comment]
Your version of Excel allows you to read this threaded comment; however, any edits to it will get removed if the file is opened in a newer version of Excel. Learn more: https://go.microsoft.com/fwlink/?linkid=870924
Comment:
    Slow dinner</t>
      </text>
    </comment>
    <comment ref="I22" authorId="10" shapeId="0" xr:uid="{1072CA2E-8230-7C45-B6AE-690AB2327F61}">
      <text>
        <t>[Threaded comment]
Your version of Excel allows you to read this threaded comment; however, any edits to it will get removed if the file is opened in a newer version of Excel. Learn more: https://go.microsoft.com/fwlink/?linkid=870924
Comment:
    slow lunch, rush walk-ins dinner</t>
      </text>
    </comment>
    <comment ref="C23" authorId="11" shapeId="0" xr:uid="{61703071-5520-F44E-8CCF-4FD589103EA9}">
      <text>
        <t>[Threaded comment]
Your version of Excel allows you to read this threaded comment; however, any edits to it will get removed if the file is opened in a newer version of Excel. Learn more: https://go.microsoft.com/fwlink/?linkid=870924
Comment:
    Closed for Memorial day</t>
      </text>
    </comment>
    <comment ref="G23" authorId="12" shapeId="0" xr:uid="{B952492B-F8B3-6945-A73E-717F6288D3D6}">
      <text>
        <t>[Threaded comment]
Your version of Excel allows you to read this threaded comment; however, any edits to it will get removed if the file is opened in a newer version of Excel. Learn more: https://go.microsoft.com/fwlink/?linkid=870924
Comment:
    cloudy, called patio resos to cancel, dribble rain</t>
      </text>
    </comment>
    <comment ref="C25" authorId="13" shapeId="0" xr:uid="{A676E325-02C7-624A-B473-DC309AE302B1}">
      <text>
        <t>[Threaded comment]
Your version of Excel allows you to read this threaded comment; however, any edits to it will get removed if the file is opened in a newer version of Excel. Learn more: https://go.microsoft.com/fwlink/?linkid=870924
Comment:
    first car show monday. Meh</t>
      </text>
    </comment>
    <comment ref="I25" authorId="14" shapeId="0" xr:uid="{16C48595-FBE3-714D-A927-B1ADD5C7003B}">
      <text>
        <t>[Threaded comment]
Your version of Excel allows you to read this threaded comment; however, any edits to it will get removed if the file is opened in a newer version of Excel. Learn more: https://go.microsoft.com/fwlink/?linkid=870924
Comment:
    Father's day</t>
      </text>
    </comment>
    <comment ref="G30" authorId="15" shapeId="0" xr:uid="{A5AD46E8-250D-EC4D-8E42-74CF9A664364}">
      <text>
        <t>[Threaded comment]
Your version of Excel allows you to read this threaded comment; however, any edits to it will get removed if the file is opened in a newer version of Excel. Learn more: https://go.microsoft.com/fwlink/?linkid=870924
Comment:
    Ordered 7 cs Prosecco week before and ran out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<sst xmlns="http://schemas.openxmlformats.org/spreadsheetml/2006/main" count="211" uniqueCount="133">
  <si>
    <t>Date Start</t>
  </si>
  <si>
    <t>Date End</t>
  </si>
  <si>
    <t>Monday</t>
  </si>
  <si>
    <t>Tuesday</t>
  </si>
  <si>
    <t>Wednesday</t>
  </si>
  <si>
    <t>Thursday</t>
  </si>
  <si>
    <t>Friday</t>
  </si>
  <si>
    <t>Saturday</t>
  </si>
  <si>
    <t>Sunday</t>
  </si>
  <si>
    <t>Total</t>
  </si>
  <si>
    <t>% change</t>
  </si>
  <si>
    <t>Notes</t>
  </si>
  <si>
    <t>Monthly Sales Tax</t>
  </si>
  <si>
    <t>Net Sales</t>
  </si>
  <si>
    <t>Tax Payment</t>
  </si>
  <si>
    <t>Projected</t>
  </si>
  <si>
    <t>Difference</t>
  </si>
  <si>
    <t>Rolling Difference</t>
  </si>
  <si>
    <t>Closed for NYE, Jan 1 slow</t>
  </si>
  <si>
    <t>January</t>
  </si>
  <si>
    <t>February</t>
  </si>
  <si>
    <t>March</t>
  </si>
  <si>
    <t>April</t>
  </si>
  <si>
    <t>Dry January over, Fire and ice Chili cookoff social Downtown Sat Feb 1</t>
  </si>
  <si>
    <t>May</t>
  </si>
  <si>
    <t>June</t>
  </si>
  <si>
    <t>Hide main hours to book pre/post center</t>
  </si>
  <si>
    <t>July</t>
  </si>
  <si>
    <t>Chocolate walk sunday was ok</t>
  </si>
  <si>
    <t>August</t>
  </si>
  <si>
    <t>September</t>
  </si>
  <si>
    <t>October</t>
  </si>
  <si>
    <t>November</t>
  </si>
  <si>
    <t>December</t>
  </si>
  <si>
    <t>Easter Sunday dead</t>
  </si>
  <si>
    <t>Opened patio</t>
  </si>
  <si>
    <t>Mother's day, graduation week, nice weather</t>
  </si>
  <si>
    <t>Good weather/ wind Thurs/Fri, Graduation Sat</t>
  </si>
  <si>
    <t>Memorial Day weekend</t>
  </si>
  <si>
    <t>Sunday event kick off summer</t>
  </si>
  <si>
    <t>Good weather, lots new faces. First Fri lunch</t>
  </si>
  <si>
    <t>First Tuesday, change lunch to 1pm. First car show monday, Father's day walk ins</t>
  </si>
  <si>
    <t>Sunday super hot, Sat slow all day</t>
  </si>
  <si>
    <t>Closed for July 4th Friday, Mookie in BA. Heard downtown dead</t>
  </si>
  <si>
    <t>Bluegrass festival Sat, Sun, steady, patio packed, seemed slow though</t>
  </si>
  <si>
    <t>Big week, Friday steady all day</t>
  </si>
  <si>
    <t>Niha bday Saturday, sophia manage</t>
  </si>
  <si>
    <t>Mookie out of town most of week, good weather, hot no rain, late crowds</t>
  </si>
  <si>
    <t>Monday school started back up. Wknd busy after slow week school, late rush Sunday</t>
  </si>
  <si>
    <t>Fall fest week slow.  Friday slow. Not our crowd. Labor day early monday fest, died after 6:30. Refer to weekly sheet. Sunday busy</t>
  </si>
  <si>
    <t xml:space="preserve">great weather mid 70's windows open but sales slowing down. </t>
  </si>
  <si>
    <t>Dancin Marlin said Sept slowest month due to school</t>
  </si>
  <si>
    <t>Slow week. Mookie in Spain all week.  Niha/Sophia managed</t>
  </si>
  <si>
    <t>Wine Ale walk Sunday, decent weather</t>
  </si>
  <si>
    <t>switched to opentable, overlap with Tock.  Resos starting at 5pm, end sooner</t>
  </si>
  <si>
    <t>Weather colder. Half Patio closed, Oktober fest Fri/Sat. cooling weather</t>
  </si>
  <si>
    <t>Whichy night out Thurs</t>
  </si>
  <si>
    <t>Removed patio beginning week, cold</t>
  </si>
  <si>
    <t xml:space="preserve">Halloween week. So slow. </t>
  </si>
  <si>
    <t>Anniversary party wed *188ppl., $1000 catering order Sunday , SSL event sat</t>
  </si>
  <si>
    <t>Ppl lingering on weekends, lots of usual suspects, good weather 60's Fri, sat</t>
  </si>
  <si>
    <t>slow start, weather not terrible. dark early. Sat super slow dinner. Reso end 7:30</t>
  </si>
  <si>
    <t>busy Monday before Thanksgiving, tons of crispies, Sat snowstorm through Sun.</t>
  </si>
  <si>
    <t>Lighting green Thurs. cold, snow. Bears Sunday 330p</t>
  </si>
  <si>
    <t>midnight madness friday, O degrees all weekend</t>
  </si>
  <si>
    <t>better weather. holidays. cold but not better. sat bears game night</t>
  </si>
  <si>
    <t>Busy holiday week, Lots walk ins Mon &amp; Tues not Wed. Sat lots parties &amp; regulars, supposedly google showed Xmas eve closed</t>
  </si>
  <si>
    <t>Lots of parties. Busy holiday, lots of resos, bar full, turned off delivery NYE 7 course</t>
  </si>
  <si>
    <t>Tues closed holiday party, bears playoff sat night</t>
  </si>
  <si>
    <t>Sunday bears playoff 5pm game, snow</t>
  </si>
  <si>
    <t>Friday -18 degrees schools canceled, snow sat freezing</t>
  </si>
  <si>
    <t>Wed Mookie $1k dinner, people are lingering longer winter, sat Fire &amp; Ice chili event</t>
  </si>
  <si>
    <t>Closed Super Bowl Sunday</t>
  </si>
  <si>
    <t>Weather warming up. ppl celebrate Vday thurs-sun. Huge weekend.</t>
  </si>
  <si>
    <t>Post Holiday weekend slowdown.  Weekend remains busy.  Sunday all walk ins Chocolate walk</t>
  </si>
  <si>
    <t>Slower weekend. Sunday no event but lots of walk-ins.</t>
  </si>
  <si>
    <t>warm week, Thursday ppl staying late,  late rainstorm friday cancellations</t>
  </si>
  <si>
    <t>Monday tornado rain, a lot new ppl</t>
  </si>
  <si>
    <t>Description</t>
  </si>
  <si>
    <t>FOH</t>
  </si>
  <si>
    <t>BOH</t>
  </si>
  <si>
    <t>Accountability</t>
  </si>
  <si>
    <t>Keeping each other and ourselves accountable for our roles, responsibilites and areas of improvement?  Are we checking up on each other holding each other to expectations?</t>
  </si>
  <si>
    <t>Communication</t>
  </si>
  <si>
    <t>Are we communicating with each other and down to our staff about expectations, changes, improvements, needing help, etc</t>
  </si>
  <si>
    <t>Consistency</t>
  </si>
  <si>
    <t>Are we showing consistency in our respective areas?  Performance, deliverables, sushi rolls, prep, FOH, routines, checklist items</t>
  </si>
  <si>
    <t>Structure / process</t>
  </si>
  <si>
    <t>Are we and staff following the processes and structure we have in place?</t>
  </si>
  <si>
    <t>Execution</t>
  </si>
  <si>
    <t>Are we executing tasks, responsibilities individually and as a team?</t>
  </si>
  <si>
    <t>Follow Up</t>
  </si>
  <si>
    <t>After assigning or asking for help or task, or changes are we following up to make sure it is done, complete not just once but over and over to ensure its correct?</t>
  </si>
  <si>
    <t>TOTAL RATING</t>
  </si>
  <si>
    <t>Week_Start</t>
  </si>
  <si>
    <t>Week_End</t>
  </si>
  <si>
    <t>Weekly_Total</t>
  </si>
  <si>
    <t>Weekly_Change_Pct</t>
  </si>
  <si>
    <t>Projected_Value</t>
  </si>
  <si>
    <t>Variance</t>
  </si>
  <si>
    <t>Rolling_Variance</t>
  </si>
  <si>
    <t>Month</t>
  </si>
  <si>
    <t>Net_Sales</t>
  </si>
  <si>
    <t>N.B: Tax Rate =</t>
  </si>
  <si>
    <t>Sale_Date</t>
  </si>
  <si>
    <t>Day_Name</t>
  </si>
  <si>
    <t>Sales</t>
  </si>
  <si>
    <t>Month_Year</t>
  </si>
  <si>
    <t>Weekly_Row_Source</t>
  </si>
  <si>
    <t xml:space="preserve">Total </t>
  </si>
  <si>
    <t>Total Net Sales</t>
  </si>
  <si>
    <t>Average Monthly Sales</t>
  </si>
  <si>
    <t>Final Rolling Variance</t>
  </si>
  <si>
    <t>Best Month</t>
  </si>
  <si>
    <t>Worst Month</t>
  </si>
  <si>
    <t xml:space="preserve">    Sales Performance and Variance Analysis Dashboard</t>
  </si>
  <si>
    <t>Actual_Sales</t>
  </si>
  <si>
    <t>Projected_Sales</t>
  </si>
  <si>
    <t>Average_Sales</t>
  </si>
  <si>
    <t>Month_Label</t>
  </si>
  <si>
    <t>Month_Sort</t>
  </si>
  <si>
    <t>Performance Summary</t>
  </si>
  <si>
    <t>Sales underperformed target in the early part of 2025, with April 2025 emerging as the weakest full month.</t>
  </si>
  <si>
    <t>Performance recovered strongly from June to September 2025, with August 2025 delivering the highest monthly sales and strongest positive variance.</t>
  </si>
  <si>
    <t>Rolling variance moved from a negative position into sustained positive territory by mid 2025, indicating cumulative recovery against target.</t>
  </si>
  <si>
    <t>Revenue is concentrated toward the end of the week, with Friday and Saturday producing the highest average daily sales, suggesting strong weekend dependence.</t>
  </si>
  <si>
    <t>Weekly sales performance review covering Jan 2025 to Feb 2026, focused on target variance, cumulative recovery, and weekday revenue structure.</t>
  </si>
  <si>
    <t>Early week demand appears comparatively weak and may represent an opportunity for targeted sales improvement.</t>
  </si>
  <si>
    <t>End of week concentration suggests that operational disruptions on Friday or Saturday could have disproportionate revenue impact.</t>
  </si>
  <si>
    <t>Rolling variance is a stronger measure of recovery than single month performance because it shows whether gains are cumulative.</t>
  </si>
  <si>
    <t>The mid 2025 uplift appears to reflect a genuine improvement phase rather than random fluctuation.</t>
  </si>
  <si>
    <t>Analaysis Summary</t>
  </si>
  <si>
    <t>Business Implications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</si>
</sst>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
    <numFmt numFmtId="165" formatCode="&quot;$&quot;#,##0.00"/>
    <numFmt numFmtId="166" formatCode="0.0"/>
    <numFmt numFmtId="177" formatCode="[$-409]mmm\-yy;@"/>
    <numFmt numFmtId="178" formatCode="mmm\ yyyy"/>
  </numFmts>
  <fonts count="31" x14ac:knownFonts="1">
    <font>
      <sz val="10"/>
      <color rgb="FF000000"/>
      <name val="Arial"/>
      <scheme val="minor"/>
    </font>
    <font>
      <b/>
      <sz val="10"/>
      <color theme="1"/>
      <name val="Arial"/>
      <family val="2"/>
      <scheme val="minor"/>
    </font>
    <font>
      <sz val="10"/>
      <color rgb="FFCCCCCC"/>
      <name val="Arial"/>
      <family val="2"/>
      <scheme val="minor"/>
    </font>
    <font>
      <sz val="10"/>
      <color theme="1"/>
      <name val="Arial"/>
      <family val="2"/>
      <scheme val="minor"/>
    </font>
    <font>
      <sz val="10"/>
      <color theme="1"/>
      <name val="Arial"/>
      <family val="2"/>
    </font>
    <font>
      <b/>
      <sz val="10"/>
      <color theme="1"/>
      <name val="Arial"/>
      <family val="2"/>
    </font>
    <font>
      <sz val="8"/>
      <color theme="1"/>
      <name val="Arial"/>
      <family val="2"/>
      <scheme val="minor"/>
    </font>
    <font>
      <sz val="10"/>
      <color rgb="FF000000"/>
      <name val="Arial"/>
      <family val="2"/>
      <scheme val="minor"/>
    </font>
    <font>
      <b/>
      <sz val="15"/>
      <color theme="3"/>
      <name val="Arial"/>
      <family val="2"/>
      <scheme val="minor"/>
    </font>
    <font>
      <b/>
      <sz val="13"/>
      <color theme="3"/>
      <name val="Arial"/>
      <family val="2"/>
      <scheme val="minor"/>
    </font>
    <font>
      <b/>
      <sz val="12"/>
      <color rgb="FF3F3F3F"/>
      <name val="Arial"/>
      <family val="2"/>
      <scheme val="minor"/>
    </font>
    <font>
      <sz val="10"/>
      <color rgb="FF000000"/>
      <name val="Tahoma"/>
      <family val="2"/>
    </font>
    <font>
      <b/>
      <sz val="11"/>
      <color theme="1"/>
      <name val="Arial"/>
      <family val="2"/>
      <scheme val="minor"/>
    </font>
    <font>
      <b/>
      <sz val="11"/>
      <color rgb="FF000000"/>
      <name val="Arial"/>
      <family val="2"/>
      <scheme val="minor"/>
    </font>
    <font>
      <b/>
      <sz val="12"/>
      <color rgb="FF000000"/>
      <name val="Arial"/>
      <family val="2"/>
      <scheme val="minor"/>
    </font>
    <font>
      <sz val="11"/>
      <color theme="1"/>
      <name val="Arial"/>
      <family val="2"/>
      <scheme val="minor"/>
    </font>
    <font>
      <sz val="11"/>
      <color rgb="FF000000"/>
      <name val="Arial"/>
      <family val="2"/>
      <scheme val="minor"/>
    </font>
    <font>
      <sz val="11"/>
      <color theme="1"/>
      <name val="Arial"/>
      <family val="2"/>
    </font>
    <font>
      <b/>
      <sz val="11"/>
      <color theme="1"/>
      <name val="Arial"/>
      <family val="2"/>
    </font>
    <font>
      <b/>
      <sz val="14"/>
      <color theme="3"/>
      <name val="Arial"/>
      <family val="2"/>
      <scheme val="minor"/>
    </font>
    <font>
      <sz val="14"/>
      <color rgb="FF000000"/>
      <name val="Arial"/>
      <family val="2"/>
      <scheme val="minor"/>
    </font>
    <font>
      <sz val="12"/>
      <color rgb="FF000000"/>
      <name val="Arial"/>
      <family val="2"/>
      <scheme val="minor"/>
    </font>
    <font>
      <b/>
      <sz val="14"/>
      <color rgb="FF3F3F3F"/>
      <name val="Arial"/>
      <family val="2"/>
      <scheme val="minor"/>
    </font>
    <font>
      <b/>
      <sz val="14"/>
      <color theme="1" tint="0.34998626667073579"/>
      <name val="Arial"/>
      <family val="2"/>
      <scheme val="minor"/>
    </font>
    <font>
      <sz val="14"/>
      <color theme="1" tint="0.34998626667073579"/>
      <name val="Arial"/>
      <family val="2"/>
      <scheme val="minor"/>
    </font>
    <font>
      <b/>
      <sz val="18"/>
      <color theme="9" tint="0.79998168889431442"/>
      <name val="Arial"/>
      <family val="2"/>
      <scheme val="minor"/>
    </font>
    <font>
      <b/>
      <sz val="12"/>
      <color theme="9" tint="0.79998168889431442"/>
      <name val="Arial"/>
      <family val="2"/>
      <scheme val="minor"/>
    </font>
    <font>
      <sz val="8"/>
      <name val="Arial"/>
      <family val="2"/>
      <scheme val="minor"/>
    </font>
    <font>
      <b/>
      <sz val="18"/>
      <color theme="1" tint="0.34998626667073579"/>
      <name val="Arial"/>
      <family val="2"/>
      <scheme val="minor"/>
    </font>
    <font>
      <b/>
      <sz val="14"/>
      <color theme="9" tint="0.79998168889431442"/>
      <name val="Arial"/>
      <family val="2"/>
      <scheme val="minor"/>
    </font>
    <font>
      <b/>
      <sz val="22"/>
      <color theme="9" tint="0.79998168889431442"/>
      <name val="Arial"/>
      <family val="2"/>
      <scheme val="minor"/>
    </font>
  </fonts>
  <fills count="16">
    <fill>
      <patternFill patternType="none"/>
    </fill>
    <fill>
      <patternFill patternType="gray125"/>
    </fill>
    <fill>
      <patternFill patternType="solid">
        <fgColor rgb="FFEAD1DC"/>
        <bgColor rgb="FFEAD1DC"/>
      </patternFill>
    </fill>
    <fill>
      <patternFill patternType="solid">
        <fgColor rgb="FFFFF2CC"/>
        <bgColor rgb="FFFFF2CC"/>
      </patternFill>
    </fill>
    <fill>
      <patternFill patternType="solid">
        <fgColor rgb="FFD0E0E3"/>
        <bgColor rgb="FFD0E0E3"/>
      </patternFill>
    </fill>
    <fill>
      <patternFill patternType="solid">
        <fgColor rgb="FFD9EAD3"/>
        <bgColor rgb="FFD9EAD3"/>
      </patternFill>
    </fill>
    <fill>
      <patternFill patternType="solid">
        <fgColor rgb="FFEFEFEF"/>
        <bgColor rgb="FFEFEFEF"/>
      </patternFill>
    </fill>
    <fill>
      <patternFill patternType="solid">
        <fgColor rgb="FFF4CCCC"/>
        <bgColor rgb="FFF4CCCC"/>
      </patternFill>
    </fill>
    <fill>
      <patternFill patternType="solid">
        <fgColor rgb="FFD9D2E9"/>
        <bgColor rgb="FFD9D2E9"/>
      </patternFill>
    </fill>
    <fill>
      <patternFill patternType="solid">
        <fgColor rgb="FFF2F2F2"/>
      </patternFill>
    </fill>
    <fill>
      <patternFill patternType="solid">
        <fgColor theme="9" tint="0.59999389629810485"/>
        <bgColor rgb="FFD0E0E3"/>
      </patternFill>
    </fill>
    <fill>
      <patternFill patternType="solid">
        <fgColor theme="9" tint="0.59999389629810485"/>
        <bgColor indexed="64"/>
      </patternFill>
    </fill>
    <fill>
      <patternFill patternType="solid">
        <fgColor theme="9" tint="0.59999389629810485"/>
        <bgColor rgb="FFEAD1DC"/>
      </patternFill>
    </fill>
    <fill>
      <patternFill patternType="solid">
        <fgColor theme="0" tint="-0.14999847407452621"/>
        <bgColor indexed="64"/>
      </patternFill>
    </fill>
    <fill>
      <patternFill patternType="solid">
        <fgColor theme="9" tint="-0.499984740745262"/>
        <bgColor indexed="64"/>
      </patternFill>
    </fill>
    <fill>
      <patternFill patternType="solid">
        <fgColor theme="8" tint="0.39997558519241921"/>
        <bgColor indexed="64"/>
      </patternFill>
    </fill>
  </fills>
  <borders count="11">
    <border>
      <left/>
      <right/>
      <top/>
      <bottom/>
      <diagonal/>
    </border>
    <border>
      <left/>
      <right/>
      <top/>
      <bottom style="thin">
        <color rgb="FF000000"/>
      </bottom>
      <diagonal/>
    </border>
    <border>
      <left/>
      <right/>
      <top/>
      <bottom style="thick">
        <color theme="4"/>
      </bottom>
      <diagonal/>
    </border>
    <border>
      <left/>
      <right/>
      <top/>
      <bottom style="thick">
        <color theme="4" tint="0.499984740745262"/>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9" tint="0.39997558519241921"/>
      </top>
      <bottom style="double">
        <color theme="9" tint="0.3999755851924192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
    <xf numFmtId="0" fontId="0" fillId="0" borderId="0"/>
    <xf numFmtId="0" fontId="8" fillId="0" borderId="2" applyNumberFormat="0" applyFill="0" applyAlignment="0" applyProtection="0"/>
    <xf numFmtId="0" fontId="9" fillId="0" borderId="3" applyNumberFormat="0" applyFill="0" applyAlignment="0" applyProtection="0"/>
    <xf numFmtId="0" fontId="10" fillId="9" borderId="4" applyNumberFormat="0" applyAlignment="0" applyProtection="0"/>
  </cellStyleXfs>
  <cellXfs count="95">
    <xf numFmtId="0" fontId="0" fillId="0" borderId="0" xfId="0"/>
    <xf numFmtId="0" fontId="1" fillId="2" borderId="0" xfId="0" applyFont="1" applyFill="1"/>
    <xf numFmtId="0" fontId="1" fillId="3" borderId="0" xfId="0" applyFont="1" applyFill="1" applyAlignment="1">
      <alignment horizontal="center"/>
    </xf>
    <xf numFmtId="0" fontId="1" fillId="0" borderId="0" xfId="0" applyFont="1"/>
    <xf numFmtId="0" fontId="1" fillId="0" borderId="0" xfId="0" applyFont="1" applyAlignment="1">
      <alignment wrapText="1"/>
    </xf>
    <xf numFmtId="0" fontId="1" fillId="4" borderId="0" xfId="0" applyFont="1" applyFill="1"/>
    <xf numFmtId="10" fontId="2" fillId="0" borderId="0" xfId="0" applyNumberFormat="1" applyFont="1"/>
    <xf numFmtId="164" fontId="3" fillId="0" borderId="0" xfId="0" applyNumberFormat="1" applyFont="1"/>
    <xf numFmtId="165" fontId="3" fillId="5" borderId="0" xfId="0" applyNumberFormat="1" applyFont="1" applyFill="1"/>
    <xf numFmtId="165" fontId="3" fillId="0" borderId="0" xfId="0" applyNumberFormat="1" applyFont="1"/>
    <xf numFmtId="165" fontId="3" fillId="3" borderId="0" xfId="0" applyNumberFormat="1" applyFont="1" applyFill="1"/>
    <xf numFmtId="0" fontId="3" fillId="0" borderId="0" xfId="0" applyFont="1" applyAlignment="1">
      <alignment wrapText="1"/>
    </xf>
    <xf numFmtId="0" fontId="3" fillId="6" borderId="0" xfId="0" applyFont="1" applyFill="1"/>
    <xf numFmtId="165" fontId="3" fillId="6" borderId="0" xfId="0" applyNumberFormat="1" applyFont="1" applyFill="1"/>
    <xf numFmtId="10" fontId="3" fillId="0" borderId="0" xfId="0" applyNumberFormat="1" applyFont="1"/>
    <xf numFmtId="0" fontId="3" fillId="0" borderId="0" xfId="0" applyFont="1"/>
    <xf numFmtId="165" fontId="3" fillId="0" borderId="1" xfId="0" applyNumberFormat="1" applyFont="1" applyBorder="1"/>
    <xf numFmtId="165" fontId="1" fillId="0" borderId="0" xfId="0" applyNumberFormat="1" applyFont="1"/>
    <xf numFmtId="165" fontId="4" fillId="3" borderId="0" xfId="0" applyNumberFormat="1" applyFont="1" applyFill="1" applyAlignment="1">
      <alignment horizontal="right"/>
    </xf>
    <xf numFmtId="10" fontId="4" fillId="0" borderId="0" xfId="0" applyNumberFormat="1" applyFont="1" applyAlignment="1">
      <alignment horizontal="right"/>
    </xf>
    <xf numFmtId="165" fontId="5" fillId="3" borderId="0" xfId="0" applyNumberFormat="1" applyFont="1" applyFill="1" applyAlignment="1">
      <alignment horizontal="right"/>
    </xf>
    <xf numFmtId="165" fontId="3" fillId="7" borderId="0" xfId="0" applyNumberFormat="1" applyFont="1" applyFill="1"/>
    <xf numFmtId="164" fontId="4" fillId="0" borderId="0" xfId="0" applyNumberFormat="1" applyFont="1" applyAlignment="1">
      <alignment horizontal="right"/>
    </xf>
    <xf numFmtId="0" fontId="3" fillId="3" borderId="0" xfId="0" applyFont="1" applyFill="1"/>
    <xf numFmtId="0" fontId="1" fillId="8" borderId="0" xfId="0" applyFont="1" applyFill="1" applyAlignment="1">
      <alignment wrapText="1"/>
    </xf>
    <xf numFmtId="164" fontId="1" fillId="2" borderId="0" xfId="0" applyNumberFormat="1" applyFont="1" applyFill="1"/>
    <xf numFmtId="0" fontId="3" fillId="2" borderId="0" xfId="0" applyFont="1" applyFill="1"/>
    <xf numFmtId="0" fontId="6" fillId="0" borderId="0" xfId="0" applyFont="1" applyAlignment="1">
      <alignment wrapText="1"/>
    </xf>
    <xf numFmtId="166" fontId="3" fillId="0" borderId="0" xfId="0" applyNumberFormat="1" applyFont="1"/>
    <xf numFmtId="0" fontId="3" fillId="0" borderId="1" xfId="0" applyFont="1" applyBorder="1"/>
    <xf numFmtId="166" fontId="3" fillId="0" borderId="1" xfId="0" applyNumberFormat="1" applyFont="1" applyBorder="1"/>
    <xf numFmtId="164" fontId="1" fillId="4" borderId="0" xfId="0" applyNumberFormat="1" applyFont="1" applyFill="1" applyAlignment="1">
      <alignment horizontal="center"/>
    </xf>
    <xf numFmtId="0" fontId="0" fillId="0" borderId="0" xfId="0"/>
    <xf numFmtId="0" fontId="7" fillId="0" borderId="0" xfId="0" applyFont="1"/>
    <xf numFmtId="165" fontId="15" fillId="5" borderId="0" xfId="0" applyNumberFormat="1" applyFont="1" applyFill="1"/>
    <xf numFmtId="165" fontId="15" fillId="0" borderId="0" xfId="0" applyNumberFormat="1" applyFont="1"/>
    <xf numFmtId="165" fontId="15" fillId="3" borderId="0" xfId="0" applyNumberFormat="1" applyFont="1" applyFill="1"/>
    <xf numFmtId="0" fontId="12" fillId="0" borderId="0" xfId="0" applyFont="1"/>
    <xf numFmtId="0" fontId="15" fillId="0" borderId="0" xfId="0" applyFont="1" applyAlignment="1">
      <alignment wrapText="1"/>
    </xf>
    <xf numFmtId="0" fontId="16" fillId="0" borderId="0" xfId="0" applyFont="1"/>
    <xf numFmtId="10" fontId="15" fillId="0" borderId="0" xfId="0" applyNumberFormat="1" applyFont="1"/>
    <xf numFmtId="165" fontId="17" fillId="3" borderId="0" xfId="0" applyNumberFormat="1" applyFont="1" applyFill="1" applyAlignment="1">
      <alignment horizontal="right"/>
    </xf>
    <xf numFmtId="10" fontId="17" fillId="0" borderId="0" xfId="0" applyNumberFormat="1" applyFont="1" applyAlignment="1">
      <alignment horizontal="right"/>
    </xf>
    <xf numFmtId="165" fontId="18" fillId="3" borderId="0" xfId="0" applyNumberFormat="1" applyFont="1" applyFill="1" applyAlignment="1">
      <alignment horizontal="right"/>
    </xf>
    <xf numFmtId="165" fontId="15" fillId="7" borderId="0" xfId="0" applyNumberFormat="1" applyFont="1" applyFill="1"/>
    <xf numFmtId="14" fontId="15" fillId="0" borderId="0" xfId="0" applyNumberFormat="1" applyFont="1"/>
    <xf numFmtId="14" fontId="0" fillId="0" borderId="0" xfId="0" applyNumberFormat="1"/>
    <xf numFmtId="165" fontId="0" fillId="0" borderId="0" xfId="0" applyNumberFormat="1"/>
    <xf numFmtId="0" fontId="8" fillId="11" borderId="2" xfId="1" applyFill="1" applyAlignment="1">
      <alignment horizontal="center" vertical="center"/>
    </xf>
    <xf numFmtId="165" fontId="15" fillId="0" borderId="0" xfId="0" applyNumberFormat="1" applyFont="1" applyBorder="1"/>
    <xf numFmtId="0" fontId="19" fillId="11" borderId="2" xfId="1" applyFont="1" applyFill="1" applyAlignment="1">
      <alignment horizontal="center" vertical="center"/>
    </xf>
    <xf numFmtId="0" fontId="19" fillId="10" borderId="2" xfId="1" applyFont="1" applyFill="1" applyAlignment="1">
      <alignment horizontal="center" vertical="center"/>
    </xf>
    <xf numFmtId="165" fontId="19" fillId="3" borderId="2" xfId="1" applyNumberFormat="1" applyFont="1" applyFill="1" applyAlignment="1">
      <alignment horizontal="center" vertical="center"/>
    </xf>
    <xf numFmtId="0" fontId="19" fillId="0" borderId="2" xfId="1" applyFont="1" applyAlignment="1">
      <alignment horizontal="center" vertical="center"/>
    </xf>
    <xf numFmtId="0" fontId="20" fillId="0" borderId="0" xfId="0" applyFont="1" applyAlignment="1">
      <alignment horizontal="center" vertical="center"/>
    </xf>
    <xf numFmtId="14" fontId="19" fillId="12" borderId="2" xfId="1" applyNumberFormat="1" applyFont="1" applyFill="1" applyAlignment="1">
      <alignment horizontal="center" vertical="center"/>
    </xf>
    <xf numFmtId="165" fontId="19" fillId="12" borderId="2" xfId="1" applyNumberFormat="1" applyFont="1" applyFill="1" applyAlignment="1">
      <alignment horizontal="center" vertical="center"/>
    </xf>
    <xf numFmtId="14" fontId="16" fillId="0" borderId="0" xfId="0" applyNumberFormat="1" applyFont="1"/>
    <xf numFmtId="165" fontId="16" fillId="0" borderId="0" xfId="0" applyNumberFormat="1" applyFont="1"/>
    <xf numFmtId="165" fontId="8" fillId="11" borderId="2" xfId="1" applyNumberFormat="1" applyFill="1" applyAlignment="1">
      <alignment horizontal="center" vertical="center"/>
    </xf>
    <xf numFmtId="0" fontId="8" fillId="11" borderId="2" xfId="1" applyFill="1" applyAlignment="1">
      <alignment vertical="center"/>
    </xf>
    <xf numFmtId="165" fontId="8" fillId="11" borderId="2" xfId="1" applyNumberFormat="1" applyFill="1" applyAlignment="1">
      <alignment vertical="center"/>
    </xf>
    <xf numFmtId="177" fontId="19" fillId="10" borderId="2" xfId="1" applyNumberFormat="1" applyFont="1" applyFill="1" applyAlignment="1">
      <alignment horizontal="center" vertical="center"/>
    </xf>
    <xf numFmtId="14" fontId="8" fillId="11" borderId="2" xfId="1" applyNumberFormat="1" applyFill="1" applyAlignment="1">
      <alignment horizontal="center" vertical="center"/>
    </xf>
    <xf numFmtId="165" fontId="19" fillId="10" borderId="2" xfId="1" applyNumberFormat="1" applyFont="1" applyFill="1" applyAlignment="1">
      <alignment horizontal="center" vertical="center"/>
    </xf>
    <xf numFmtId="178" fontId="21" fillId="0" borderId="0" xfId="0" applyNumberFormat="1" applyFont="1"/>
    <xf numFmtId="0" fontId="13" fillId="11" borderId="5" xfId="0" applyNumberFormat="1" applyFont="1" applyFill="1" applyBorder="1" applyAlignment="1">
      <alignment horizontal="center" vertical="center"/>
    </xf>
    <xf numFmtId="10" fontId="13" fillId="11" borderId="6" xfId="0" applyNumberFormat="1" applyFont="1" applyFill="1" applyBorder="1" applyAlignment="1">
      <alignment horizontal="center" vertical="center"/>
    </xf>
    <xf numFmtId="0" fontId="13" fillId="0" borderId="0" xfId="0" applyFont="1" applyFill="1" applyAlignment="1">
      <alignment horizontal="center" vertical="center"/>
    </xf>
    <xf numFmtId="0" fontId="13" fillId="0" borderId="0" xfId="0" applyFont="1" applyFill="1" applyAlignment="1">
      <alignment vertical="center"/>
    </xf>
    <xf numFmtId="165" fontId="23" fillId="0" borderId="0" xfId="0" applyNumberFormat="1" applyFont="1" applyFill="1" applyAlignment="1">
      <alignment horizontal="center" vertical="center"/>
    </xf>
    <xf numFmtId="165" fontId="23" fillId="0" borderId="0" xfId="0" applyNumberFormat="1" applyFont="1" applyFill="1" applyAlignment="1">
      <alignment vertical="center"/>
    </xf>
    <xf numFmtId="0" fontId="24" fillId="13" borderId="0" xfId="0" applyNumberFormat="1" applyFont="1" applyFill="1" applyAlignment="1">
      <alignment horizontal="center"/>
    </xf>
    <xf numFmtId="0" fontId="24" fillId="0" borderId="0" xfId="0" applyNumberFormat="1" applyFont="1" applyFill="1" applyAlignment="1">
      <alignment vertical="center"/>
    </xf>
    <xf numFmtId="0" fontId="0" fillId="0" borderId="0" xfId="0" applyBorder="1"/>
    <xf numFmtId="0" fontId="0" fillId="14" borderId="7" xfId="0" applyFill="1" applyBorder="1"/>
    <xf numFmtId="0" fontId="25" fillId="0" borderId="0" xfId="2" applyFont="1" applyFill="1" applyBorder="1" applyAlignment="1">
      <alignment horizontal="left" vertical="center"/>
    </xf>
    <xf numFmtId="0" fontId="0" fillId="0" borderId="0" xfId="0" applyFill="1" applyBorder="1"/>
    <xf numFmtId="0" fontId="0" fillId="0" borderId="0" xfId="0" applyFill="1"/>
    <xf numFmtId="0" fontId="26" fillId="0" borderId="0" xfId="0" applyFont="1" applyFill="1" applyBorder="1" applyAlignment="1">
      <alignment vertical="center"/>
    </xf>
    <xf numFmtId="0" fontId="9" fillId="11" borderId="2" xfId="1" applyFont="1" applyFill="1" applyAlignment="1">
      <alignment vertical="center"/>
    </xf>
    <xf numFmtId="165" fontId="9" fillId="11" borderId="2" xfId="1" applyNumberFormat="1" applyFont="1" applyFill="1" applyAlignment="1">
      <alignment vertical="center"/>
    </xf>
    <xf numFmtId="178" fontId="22" fillId="13" borderId="8" xfId="3" applyNumberFormat="1" applyFont="1" applyFill="1" applyBorder="1" applyAlignment="1">
      <alignment horizontal="center"/>
    </xf>
    <xf numFmtId="165" fontId="10" fillId="13" borderId="9" xfId="3" applyNumberFormat="1" applyFill="1" applyBorder="1"/>
    <xf numFmtId="165" fontId="10" fillId="13" borderId="10" xfId="3" applyNumberFormat="1" applyFill="1" applyBorder="1"/>
    <xf numFmtId="14" fontId="19" fillId="11" borderId="2" xfId="1" applyNumberFormat="1" applyFont="1" applyFill="1" applyBorder="1" applyAlignment="1">
      <alignment horizontal="center" vertical="center"/>
    </xf>
    <xf numFmtId="165" fontId="28" fillId="13" borderId="0" xfId="0" applyNumberFormat="1" applyFont="1" applyFill="1" applyAlignment="1">
      <alignment horizontal="center" vertical="center"/>
    </xf>
    <xf numFmtId="0" fontId="14" fillId="15" borderId="0" xfId="0" applyFont="1" applyFill="1" applyAlignment="1">
      <alignment horizontal="center" vertical="center"/>
    </xf>
    <xf numFmtId="0" fontId="29" fillId="14" borderId="7" xfId="0" applyFont="1" applyFill="1" applyBorder="1" applyAlignment="1">
      <alignment horizontal="left" vertical="center"/>
    </xf>
    <xf numFmtId="0" fontId="30" fillId="14" borderId="7" xfId="2" applyFont="1" applyFill="1" applyBorder="1" applyAlignment="1">
      <alignment horizontal="left" vertical="center"/>
    </xf>
    <xf numFmtId="0" fontId="21" fillId="0" borderId="0" xfId="0" applyFont="1"/>
    <xf numFmtId="0" fontId="21" fillId="0" borderId="0" xfId="0" applyFont="1" applyAlignment="1">
      <alignment wrapText="1"/>
    </xf>
    <xf numFmtId="0" fontId="29" fillId="14" borderId="0" xfId="0" applyFont="1" applyFill="1" applyBorder="1" applyAlignment="1">
      <alignment horizontal="left" vertical="center"/>
    </xf>
    <xf numFmtId="0" fontId="7" fillId="0" borderId="0" xfId="0" applyFont="1" applyAlignment="1">
      <alignment horizontal="left"/>
    </xf>
    <xf numFmtId="0" fontId="21" fillId="0" borderId="0" xfId="0" applyFont="1" applyAlignment="1">
      <alignment horizontal="left"/>
    </xf>
  </cellXfs>
  <cellStyles count="4">
    <cellStyle name="Heading 1" xfId="1" builtinId="16"/>
    <cellStyle name="Heading 2" xfId="2" builtinId="17"/>
    <cellStyle name="Normal" xfId="0" builtinId="0"/>
    <cellStyle name="Output" xfId="3" builtinId="21"/>
  </cellStyles>
  <dxfs count="23">
    <dxf>
      <font>
        <color rgb="FF38761D"/>
      </font>
      <fill>
        <patternFill patternType="none"/>
      </fill>
    </dxf>
    <dxf>
      <font>
        <color rgb="FF38761D"/>
      </font>
      <fill>
        <patternFill patternType="none"/>
      </fill>
    </dxf>
    <dxf>
      <font>
        <color rgb="FF38761D"/>
      </font>
      <fill>
        <patternFill patternType="none"/>
      </fill>
    </dxf>
    <dxf>
      <font>
        <b val="0"/>
        <i val="0"/>
        <strike val="0"/>
        <condense val="0"/>
        <extend val="0"/>
        <outline val="0"/>
        <shadow val="0"/>
        <u val="none"/>
        <vertAlign val="baseline"/>
        <sz val="11"/>
        <color rgb="FF000000"/>
        <name val="Arial"/>
        <family val="2"/>
        <scheme val="minor"/>
      </font>
      <numFmt numFmtId="19" formatCode="m/d/yy"/>
    </dxf>
    <dxf>
      <font>
        <b val="0"/>
        <i val="0"/>
        <strike val="0"/>
        <condense val="0"/>
        <extend val="0"/>
        <outline val="0"/>
        <shadow val="0"/>
        <u val="none"/>
        <vertAlign val="baseline"/>
        <sz val="11"/>
        <color rgb="FF000000"/>
        <name val="Arial"/>
        <family val="2"/>
        <scheme val="minor"/>
      </font>
      <numFmt numFmtId="19" formatCode="m/d/yy"/>
    </dxf>
    <dxf>
      <font>
        <b val="0"/>
        <i val="0"/>
        <strike val="0"/>
        <condense val="0"/>
        <extend val="0"/>
        <outline val="0"/>
        <shadow val="0"/>
        <u val="none"/>
        <vertAlign val="baseline"/>
        <sz val="11"/>
        <color rgb="FF000000"/>
        <name val="Arial"/>
        <family val="2"/>
        <scheme val="minor"/>
      </font>
      <numFmt numFmtId="165" formatCode="&quot;$&quot;#,##0.00"/>
    </dxf>
    <dxf>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numFmt numFmtId="19" formatCode="m/d/yy"/>
    </dxf>
    <dxf>
      <font>
        <b val="0"/>
        <i val="0"/>
        <strike val="0"/>
        <condense val="0"/>
        <extend val="0"/>
        <outline val="0"/>
        <shadow val="0"/>
        <u val="none"/>
        <vertAlign val="baseline"/>
        <sz val="11"/>
        <color rgb="FF000000"/>
        <name val="Arial"/>
        <family val="2"/>
        <scheme val="minor"/>
      </font>
      <numFmt numFmtId="165" formatCode="&quot;$&quot;#,##0.00"/>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numFmt numFmtId="19" formatCode="m/d/yy"/>
    </dxf>
    <dxf>
      <border outline="0">
        <bottom style="thick">
          <color theme="4"/>
        </bottom>
      </border>
    </dxf>
    <dxf>
      <font>
        <b/>
        <i val="0"/>
        <strike val="0"/>
        <condense val="0"/>
        <extend val="0"/>
        <outline val="0"/>
        <shadow val="0"/>
        <u val="none"/>
        <vertAlign val="baseline"/>
        <sz val="14"/>
        <color theme="3"/>
        <name val="Arial"/>
        <family val="2"/>
        <scheme val="minor"/>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family val="2"/>
        <scheme val="minor"/>
      </font>
    </dxf>
    <dxf>
      <font>
        <b val="0"/>
        <i val="0"/>
        <strike val="0"/>
        <condense val="0"/>
        <extend val="0"/>
        <outline val="0"/>
        <shadow val="0"/>
        <u val="none"/>
        <vertAlign val="baseline"/>
        <sz val="11"/>
        <color rgb="FF000000"/>
        <name val="Arial"/>
        <family val="2"/>
        <scheme val="minor"/>
      </font>
      <numFmt numFmtId="165" formatCode="&quot;$&quot;#,##0.00"/>
    </dxf>
    <dxf>
      <font>
        <b val="0"/>
        <i val="0"/>
        <strike val="0"/>
        <condense val="0"/>
        <extend val="0"/>
        <outline val="0"/>
        <shadow val="0"/>
        <u val="none"/>
        <vertAlign val="baseline"/>
        <sz val="10"/>
        <color theme="1"/>
        <name val="Arial"/>
        <family val="2"/>
        <scheme val="minor"/>
      </font>
      <numFmt numFmtId="165" formatCode="&quot;$&quot;#,##0.00"/>
    </dxf>
    <dxf>
      <font>
        <b val="0"/>
        <i val="0"/>
        <strike val="0"/>
        <condense val="0"/>
        <extend val="0"/>
        <outline val="0"/>
        <shadow val="0"/>
        <u val="none"/>
        <vertAlign val="baseline"/>
        <sz val="11"/>
        <color rgb="FF000000"/>
        <name val="Arial"/>
        <family val="2"/>
        <scheme val="minor"/>
      </font>
      <numFmt numFmtId="165" formatCode="&quot;$&quot;#,##0.00"/>
    </dxf>
    <dxf>
      <font>
        <b val="0"/>
        <i val="0"/>
        <strike val="0"/>
        <condense val="0"/>
        <extend val="0"/>
        <outline val="0"/>
        <shadow val="0"/>
        <u val="none"/>
        <vertAlign val="baseline"/>
        <sz val="11"/>
        <color rgb="FF000000"/>
        <name val="Arial"/>
        <family val="2"/>
        <scheme val="minor"/>
      </font>
      <numFmt numFmtId="165" formatCode="&quot;$&quot;#,##0.00"/>
    </dxf>
    <dxf>
      <font>
        <b val="0"/>
        <i val="0"/>
        <strike val="0"/>
        <condense val="0"/>
        <extend val="0"/>
        <outline val="0"/>
        <shadow val="0"/>
        <u val="none"/>
        <vertAlign val="baseline"/>
        <sz val="12"/>
        <color rgb="FF000000"/>
        <name val="Arial"/>
        <family val="2"/>
        <scheme val="minor"/>
      </font>
      <numFmt numFmtId="178" formatCode="mmm\ yyyy"/>
    </dxf>
    <dxf>
      <border outline="0">
        <bottom style="thick">
          <color theme="4"/>
        </bottom>
      </border>
    </dxf>
    <dxf>
      <border outline="0">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0000">
                    <a:lumMod val="65000"/>
                    <a:lumOff val="35000"/>
                  </a:srgbClr>
                </a:solidFill>
              </a:rPr>
              <a:t>Actual vs Projected Monthly Sales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rich>
      </c:tx>
      <c:layout>
        <c:manualLayout>
          <c:xMode val="edge"/>
          <c:yMode val="edge"/>
          <c:x val="0.31287830748466444"/>
          <c:y val="4.314329738058551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lotArea>
      <c:layout/>
      <c:barChart>
        <c:barDir val="col"/>
        <c:grouping val="clustered"/>
        <c:varyColors val="0"/>
        <c:ser>
          <c:idx val="0"/>
          <c:order val="0"/>
          <c:tx>
            <c:strRef>
              <c:f>dashboard!$AH$3</c:f>
              <c:strCache>
                <c:ptCount val="1"/>
                <c:pt idx="0">
                  <c:v>Actual_Sales</c:v>
                </c:pt>
              </c:strCache>
            </c:strRef>
          </c:tx>
          <c:spPr>
            <a:solidFill>
              <a:schemeClr val="accent6"/>
            </a:solidFill>
            <a:ln>
              <a:noFill/>
            </a:ln>
            <a:effectLst/>
          </c:spPr>
          <c:invertIfNegative val="0"/>
          <c:cat>
            <c:strRef>
              <c:f>dashboard!$AG$4:$AG$17</c:f>
              <c:strCache>
                <c:ptCount val="14"/>
                <c:pt idx="0">
                  <c:v>Jan 2025</c:v>
                </c:pt>
                <c:pt idx="1">
                  <c:v>Feb 2025</c:v>
                </c:pt>
                <c:pt idx="2">
                  <c:v>Mar 2025</c:v>
                </c:pt>
                <c:pt idx="3">
                  <c:v>Apr 2025</c:v>
                </c:pt>
                <c:pt idx="4">
                  <c:v>May 2025</c:v>
                </c:pt>
                <c:pt idx="5">
                  <c:v>Jun 2025</c:v>
                </c:pt>
                <c:pt idx="6">
                  <c:v>Jul 2025</c:v>
                </c:pt>
                <c:pt idx="7">
                  <c:v>Aug 2025</c:v>
                </c:pt>
                <c:pt idx="8">
                  <c:v>Sep 2025</c:v>
                </c:pt>
                <c:pt idx="9">
                  <c:v>Oct 2025</c:v>
                </c:pt>
                <c:pt idx="10">
                  <c:v>Nov 2025</c:v>
                </c:pt>
                <c:pt idx="11">
                  <c:v>Dec 2025</c:v>
                </c:pt>
                <c:pt idx="12">
                  <c:v>Jan 2026</c:v>
                </c:pt>
                <c:pt idx="13">
                  <c:v>Feb 2026</c:v>
                </c:pt>
              </c:strCache>
            </c:strRef>
          </c:cat>
          <c:val>
            <c:numRef>
              <c:f>dashboard!$AH$4:$AH$17</c:f>
              <c:numCache>
                <c:formatCode>"$"#,##0.00</c:formatCode>
                <c:ptCount val="14"/>
                <c:pt idx="0">
                  <c:v>178806.93</c:v>
                </c:pt>
                <c:pt idx="1">
                  <c:v>166063.77000000002</c:v>
                </c:pt>
                <c:pt idx="2">
                  <c:v>183855.6</c:v>
                </c:pt>
                <c:pt idx="3">
                  <c:v>152162.5</c:v>
                </c:pt>
                <c:pt idx="4">
                  <c:v>217771.75</c:v>
                </c:pt>
                <c:pt idx="5">
                  <c:v>229797.6</c:v>
                </c:pt>
                <c:pt idx="6">
                  <c:v>250256.56</c:v>
                </c:pt>
                <c:pt idx="7">
                  <c:v>275185.5</c:v>
                </c:pt>
                <c:pt idx="8">
                  <c:v>206815.90000000002</c:v>
                </c:pt>
                <c:pt idx="9">
                  <c:v>196713.35</c:v>
                </c:pt>
                <c:pt idx="10">
                  <c:v>176875</c:v>
                </c:pt>
                <c:pt idx="11">
                  <c:v>184002</c:v>
                </c:pt>
                <c:pt idx="12">
                  <c:v>188741</c:v>
                </c:pt>
                <c:pt idx="13">
                  <c:v>181065</c:v>
                </c:pt>
              </c:numCache>
            </c:numRef>
          </c:val>
          <c:extLst>
            <c:ext xmlns:c16="http://schemas.microsoft.com/office/drawing/2014/chart" uri="{C3380CC4-5D6E-409C-BE32-E72D297353CC}">
              <c16:uniqueId val="{00000000-BCC5-B743-9F77-5F9030542BC4}"/>
            </c:ext>
          </c:extLst>
        </c:ser>
        <c:dLbls>
          <c:showLegendKey val="0"/>
          <c:showVal val="0"/>
          <c:showCatName val="0"/>
          <c:showSerName val="0"/>
          <c:showPercent val="0"/>
          <c:showBubbleSize val="0"/>
        </c:dLbls>
        <c:gapWidth val="150"/>
        <c:axId val="737779664"/>
        <c:axId val="1857161919"/>
      </c:barChart>
      <c:lineChart>
        <c:grouping val="standard"/>
        <c:varyColors val="0"/>
        <c:ser>
          <c:idx val="1"/>
          <c:order val="1"/>
          <c:tx>
            <c:strRef>
              <c:f>dashboard!$AI$3</c:f>
              <c:strCache>
                <c:ptCount val="1"/>
                <c:pt idx="0">
                  <c:v>Projected_Sales</c:v>
                </c:pt>
              </c:strCache>
            </c:strRef>
          </c:tx>
          <c:spPr>
            <a:ln w="28575" cap="rnd">
              <a:solidFill>
                <a:schemeClr val="accent5"/>
              </a:solidFill>
              <a:round/>
            </a:ln>
            <a:effectLst/>
          </c:spPr>
          <c:marker>
            <c:symbol val="none"/>
          </c:marker>
          <c:cat>
            <c:strRef>
              <c:f>dashboard!$AG$4:$AG$17</c:f>
              <c:strCache>
                <c:ptCount val="14"/>
                <c:pt idx="0">
                  <c:v>Jan 2025</c:v>
                </c:pt>
                <c:pt idx="1">
                  <c:v>Feb 2025</c:v>
                </c:pt>
                <c:pt idx="2">
                  <c:v>Mar 2025</c:v>
                </c:pt>
                <c:pt idx="3">
                  <c:v>Apr 2025</c:v>
                </c:pt>
                <c:pt idx="4">
                  <c:v>May 2025</c:v>
                </c:pt>
                <c:pt idx="5">
                  <c:v>Jun 2025</c:v>
                </c:pt>
                <c:pt idx="6">
                  <c:v>Jul 2025</c:v>
                </c:pt>
                <c:pt idx="7">
                  <c:v>Aug 2025</c:v>
                </c:pt>
                <c:pt idx="8">
                  <c:v>Sep 2025</c:v>
                </c:pt>
                <c:pt idx="9">
                  <c:v>Oct 2025</c:v>
                </c:pt>
                <c:pt idx="10">
                  <c:v>Nov 2025</c:v>
                </c:pt>
                <c:pt idx="11">
                  <c:v>Dec 2025</c:v>
                </c:pt>
                <c:pt idx="12">
                  <c:v>Jan 2026</c:v>
                </c:pt>
                <c:pt idx="13">
                  <c:v>Feb 2026</c:v>
                </c:pt>
              </c:strCache>
            </c:strRef>
          </c:cat>
          <c:val>
            <c:numRef>
              <c:f>dashboard!$AI$4:$AI$17</c:f>
              <c:numCache>
                <c:formatCode>"$"#,##0.00</c:formatCode>
                <c:ptCount val="14"/>
                <c:pt idx="0">
                  <c:v>187244</c:v>
                </c:pt>
                <c:pt idx="1">
                  <c:v>187244</c:v>
                </c:pt>
                <c:pt idx="2">
                  <c:v>187244</c:v>
                </c:pt>
                <c:pt idx="3">
                  <c:v>187244</c:v>
                </c:pt>
                <c:pt idx="4">
                  <c:v>187244</c:v>
                </c:pt>
                <c:pt idx="5">
                  <c:v>201393</c:v>
                </c:pt>
                <c:pt idx="6">
                  <c:v>201393</c:v>
                </c:pt>
                <c:pt idx="7">
                  <c:v>201393</c:v>
                </c:pt>
                <c:pt idx="8">
                  <c:v>201393</c:v>
                </c:pt>
                <c:pt idx="9">
                  <c:v>201393</c:v>
                </c:pt>
                <c:pt idx="10">
                  <c:v>187244</c:v>
                </c:pt>
                <c:pt idx="11">
                  <c:v>187244</c:v>
                </c:pt>
                <c:pt idx="12">
                  <c:v>187244</c:v>
                </c:pt>
                <c:pt idx="13">
                  <c:v>187244</c:v>
                </c:pt>
              </c:numCache>
            </c:numRef>
          </c:val>
          <c:smooth val="0"/>
          <c:extLst>
            <c:ext xmlns:c16="http://schemas.microsoft.com/office/drawing/2014/chart" uri="{C3380CC4-5D6E-409C-BE32-E72D297353CC}">
              <c16:uniqueId val="{00000001-BCC5-B743-9F77-5F9030542BC4}"/>
            </c:ext>
          </c:extLst>
        </c:ser>
        <c:dLbls>
          <c:showLegendKey val="0"/>
          <c:showVal val="0"/>
          <c:showCatName val="0"/>
          <c:showSerName val="0"/>
          <c:showPercent val="0"/>
          <c:showBubbleSize val="0"/>
        </c:dLbls>
        <c:marker val="1"/>
        <c:smooth val="0"/>
        <c:axId val="737779664"/>
        <c:axId val="1857161919"/>
      </c:lineChart>
      <c:catAx>
        <c:axId val="73777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57161919"/>
        <c:auto val="1"/>
        <c:lblAlgn val="ctr"/>
        <c:lblOffset val="100"/>
        <c:noMultiLvlLbl val="0"/>
      </c:catAx>
      <c:valAx>
        <c:axId val="1857161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79664"/>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Monthly Variance vs Target</a:t>
            </a:r>
            <a:endParaRPr kumimoji="0" lang="en-US" sz="1400" b="1" i="0" u="none" strike="noStrike" kern="1200" cap="none" spc="0" normalizeH="0" baseline="0" noProof="0">
              <a:ln>
                <a:noFill/>
              </a:ln>
              <a:solidFill>
                <a:srgbClr val="000000">
                  <a:lumMod val="65000"/>
                  <a:lumOff val="35000"/>
                </a:srgbClr>
              </a:solidFill>
              <a:effectLst/>
              <a:uLnTx/>
              <a:uFillTx/>
              <a:latin typeface="Arial"/>
              <a:cs typeface="Arial"/>
            </a:endParaRPr>
          </a:p>
        </c:rich>
      </c:tx>
      <c:layout>
        <c:manualLayout>
          <c:xMode val="edge"/>
          <c:yMode val="edge"/>
          <c:x val="0.29593944865172112"/>
          <c:y val="4.00616332819722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cat>
            <c:strRef>
              <c:f>dashboard!$AG$4:$AG$17</c:f>
              <c:strCache>
                <c:ptCount val="14"/>
                <c:pt idx="0">
                  <c:v>Jan 2025</c:v>
                </c:pt>
                <c:pt idx="1">
                  <c:v>Feb 2025</c:v>
                </c:pt>
                <c:pt idx="2">
                  <c:v>Mar 2025</c:v>
                </c:pt>
                <c:pt idx="3">
                  <c:v>Apr 2025</c:v>
                </c:pt>
                <c:pt idx="4">
                  <c:v>May 2025</c:v>
                </c:pt>
                <c:pt idx="5">
                  <c:v>Jun 2025</c:v>
                </c:pt>
                <c:pt idx="6">
                  <c:v>Jul 2025</c:v>
                </c:pt>
                <c:pt idx="7">
                  <c:v>Aug 2025</c:v>
                </c:pt>
                <c:pt idx="8">
                  <c:v>Sep 2025</c:v>
                </c:pt>
                <c:pt idx="9">
                  <c:v>Oct 2025</c:v>
                </c:pt>
                <c:pt idx="10">
                  <c:v>Nov 2025</c:v>
                </c:pt>
                <c:pt idx="11">
                  <c:v>Dec 2025</c:v>
                </c:pt>
                <c:pt idx="12">
                  <c:v>Jan 2026</c:v>
                </c:pt>
                <c:pt idx="13">
                  <c:v>Feb 2026</c:v>
                </c:pt>
              </c:strCache>
            </c:strRef>
          </c:cat>
          <c:val>
            <c:numRef>
              <c:f>dashboard!$AJ$4:$AJ$17</c:f>
              <c:numCache>
                <c:formatCode>General</c:formatCode>
                <c:ptCount val="14"/>
                <c:pt idx="0">
                  <c:v>-8437.070000000007</c:v>
                </c:pt>
                <c:pt idx="1">
                  <c:v>-21180.229999999981</c:v>
                </c:pt>
                <c:pt idx="2">
                  <c:v>-3388.3999999999942</c:v>
                </c:pt>
                <c:pt idx="3">
                  <c:v>-35081.5</c:v>
                </c:pt>
                <c:pt idx="4">
                  <c:v>30527.75</c:v>
                </c:pt>
                <c:pt idx="5">
                  <c:v>28404.600000000006</c:v>
                </c:pt>
                <c:pt idx="6">
                  <c:v>48863.56</c:v>
                </c:pt>
                <c:pt idx="7">
                  <c:v>73792.5</c:v>
                </c:pt>
                <c:pt idx="8">
                  <c:v>5422.9000000000233</c:v>
                </c:pt>
                <c:pt idx="9">
                  <c:v>-4679.6499999999942</c:v>
                </c:pt>
                <c:pt idx="10">
                  <c:v>-10369</c:v>
                </c:pt>
                <c:pt idx="11">
                  <c:v>-3242</c:v>
                </c:pt>
                <c:pt idx="12">
                  <c:v>1497</c:v>
                </c:pt>
                <c:pt idx="13">
                  <c:v>-6179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B20B-BB4A-AC49-D58432642D1F}"/>
            </c:ext>
          </c:extLst>
        </c:ser>
        <c:dLbls>
          <c:showLegendKey val="0"/>
          <c:showVal val="0"/>
          <c:showCatName val="0"/>
          <c:showSerName val="0"/>
          <c:showPercent val="0"/>
          <c:showBubbleSize val="0"/>
        </c:dLbls>
        <c:gapWidth val="219"/>
        <c:axId val="1891321679"/>
        <c:axId val="1890884943"/>
      </c:barChart>
      <c:catAx>
        <c:axId val="189132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890884943"/>
        <c:crosses val="autoZero"/>
        <c:auto val="1"/>
        <c:lblAlgn val="ctr"/>
        <c:lblOffset val="100"/>
        <c:noMultiLvlLbl val="0"/>
      </c:catAx>
      <c:valAx>
        <c:axId val="1890884943"/>
        <c:scaling>
          <c:orientation val="minMax"/>
        </c:scaling>
        <c:delete val="0"/>
        <c:axPos val="b"/>
        <c:majorGridlines>
          <c:spPr>
            <a:ln w="3175" cap="rnd" cmpd="thinThick" algn="ctr">
              <a:solidFill>
                <a:schemeClr val="tx1">
                  <a:lumMod val="15000"/>
                  <a:lumOff val="85000"/>
                </a:schemeClr>
              </a:solidFill>
              <a:prstDash val="sysDot"/>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32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Rolling Variance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dashboard!$AK$3</c:f>
              <c:strCache>
                <c:ptCount val="1"/>
                <c:pt idx="0">
                  <c:v>Rolling_Variance</c:v>
                </c:pt>
              </c:strCache>
            </c:strRef>
          </c:tx>
          <c:spPr>
            <a:ln w="28575" cap="rnd">
              <a:solidFill>
                <a:schemeClr val="accent5"/>
              </a:solidFill>
              <a:round/>
            </a:ln>
            <a:effectLst/>
          </c:spPr>
          <c:marker>
            <c:symbol val="none"/>
          </c:marker>
          <c:cat>
            <c:strRef>
              <c:f>dashboard!$AG$4:$AG$17</c:f>
              <c:strCache>
                <c:ptCount val="14"/>
                <c:pt idx="0">
                  <c:v>Jan 2025</c:v>
                </c:pt>
                <c:pt idx="1">
                  <c:v>Feb 2025</c:v>
                </c:pt>
                <c:pt idx="2">
                  <c:v>Mar 2025</c:v>
                </c:pt>
                <c:pt idx="3">
                  <c:v>Apr 2025</c:v>
                </c:pt>
                <c:pt idx="4">
                  <c:v>May 2025</c:v>
                </c:pt>
                <c:pt idx="5">
                  <c:v>Jun 2025</c:v>
                </c:pt>
                <c:pt idx="6">
                  <c:v>Jul 2025</c:v>
                </c:pt>
                <c:pt idx="7">
                  <c:v>Aug 2025</c:v>
                </c:pt>
                <c:pt idx="8">
                  <c:v>Sep 2025</c:v>
                </c:pt>
                <c:pt idx="9">
                  <c:v>Oct 2025</c:v>
                </c:pt>
                <c:pt idx="10">
                  <c:v>Nov 2025</c:v>
                </c:pt>
                <c:pt idx="11">
                  <c:v>Dec 2025</c:v>
                </c:pt>
                <c:pt idx="12">
                  <c:v>Jan 2026</c:v>
                </c:pt>
                <c:pt idx="13">
                  <c:v>Feb 2026</c:v>
                </c:pt>
              </c:strCache>
            </c:strRef>
          </c:cat>
          <c:val>
            <c:numRef>
              <c:f>dashboard!$AK$4:$AK$17</c:f>
              <c:numCache>
                <c:formatCode>General</c:formatCode>
                <c:ptCount val="14"/>
                <c:pt idx="0">
                  <c:v>-8437.070000000007</c:v>
                </c:pt>
                <c:pt idx="1">
                  <c:v>-29617.299999999988</c:v>
                </c:pt>
                <c:pt idx="2">
                  <c:v>-33005.699999999983</c:v>
                </c:pt>
                <c:pt idx="3">
                  <c:v>-68087.199999999983</c:v>
                </c:pt>
                <c:pt idx="4">
                  <c:v>-37559.449999999983</c:v>
                </c:pt>
                <c:pt idx="5">
                  <c:v>-9154.8499999999767</c:v>
                </c:pt>
                <c:pt idx="6">
                  <c:v>39708.710000000021</c:v>
                </c:pt>
                <c:pt idx="7">
                  <c:v>113501.21000000002</c:v>
                </c:pt>
                <c:pt idx="8">
                  <c:v>118924.11000000004</c:v>
                </c:pt>
                <c:pt idx="9">
                  <c:v>114244.46000000005</c:v>
                </c:pt>
                <c:pt idx="10">
                  <c:v>103875.46000000005</c:v>
                </c:pt>
                <c:pt idx="11">
                  <c:v>100633.46000000005</c:v>
                </c:pt>
                <c:pt idx="12">
                  <c:v>102130.46000000005</c:v>
                </c:pt>
                <c:pt idx="13">
                  <c:v>95951.46000000005</c:v>
                </c:pt>
              </c:numCache>
            </c:numRef>
          </c:val>
          <c:smooth val="0"/>
          <c:extLst>
            <c:ext xmlns:c16="http://schemas.microsoft.com/office/drawing/2014/chart" uri="{C3380CC4-5D6E-409C-BE32-E72D297353CC}">
              <c16:uniqueId val="{00000000-667F-0644-AD0A-DC354367441C}"/>
            </c:ext>
          </c:extLst>
        </c:ser>
        <c:dLbls>
          <c:showLegendKey val="0"/>
          <c:showVal val="0"/>
          <c:showCatName val="0"/>
          <c:showSerName val="0"/>
          <c:showPercent val="0"/>
          <c:showBubbleSize val="0"/>
        </c:dLbls>
        <c:smooth val="0"/>
        <c:axId val="1888770095"/>
        <c:axId val="1861313935"/>
      </c:lineChart>
      <c:catAx>
        <c:axId val="188877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313935"/>
        <c:crosses val="autoZero"/>
        <c:auto val="1"/>
        <c:lblAlgn val="ctr"/>
        <c:lblOffset val="100"/>
        <c:noMultiLvlLbl val="0"/>
      </c:catAx>
      <c:valAx>
        <c:axId val="186131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77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b="1"/>
              <a:t>Average Sales by Weekday</a:t>
            </a:r>
            <a:endParaRPr lang="en-US" b="0"/>
          </a:p>
        </c:rich>
      </c:tx>
      <c:layout>
        <c:manualLayout>
          <c:xMode val="edge"/>
          <c:yMode val="edge"/>
          <c:x val="0.30059275437285665"/>
          <c:y val="1.224566480471992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lotArea>
      <c:layout/>
      <c:barChart>
        <c:barDir val="col"/>
        <c:grouping val="clustered"/>
        <c:varyColors val="0"/>
        <c:ser>
          <c:idx val="0"/>
          <c:order val="0"/>
          <c:tx>
            <c:strRef>
              <c:f>dashboard!$AH$22</c:f>
              <c:strCache>
                <c:ptCount val="1"/>
                <c:pt idx="0">
                  <c:v>Average_Sales</c:v>
                </c:pt>
              </c:strCache>
            </c:strRef>
          </c:tx>
          <c:spPr>
            <a:solidFill>
              <a:schemeClr val="accent6"/>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dashboard!$AG$23:$AG$29</c:f>
              <c:strCache>
                <c:ptCount val="7"/>
                <c:pt idx="0">
                  <c:v>Monday</c:v>
                </c:pt>
                <c:pt idx="1">
                  <c:v>Tuesday</c:v>
                </c:pt>
                <c:pt idx="2">
                  <c:v>Wednesday</c:v>
                </c:pt>
                <c:pt idx="3">
                  <c:v>Thursday</c:v>
                </c:pt>
                <c:pt idx="4">
                  <c:v>Friday</c:v>
                </c:pt>
                <c:pt idx="5">
                  <c:v>Saturday</c:v>
                </c:pt>
                <c:pt idx="6">
                  <c:v>Sunday</c:v>
                </c:pt>
              </c:strCache>
            </c:strRef>
          </c:cat>
          <c:val>
            <c:numRef>
              <c:f>dashboard!$AH$23:$AH$29</c:f>
              <c:numCache>
                <c:formatCode>"$"#,##0.00</c:formatCode>
                <c:ptCount val="7"/>
                <c:pt idx="0">
                  <c:v>3631.718095238095</c:v>
                </c:pt>
                <c:pt idx="1">
                  <c:v>2332.6279365079363</c:v>
                </c:pt>
                <c:pt idx="2">
                  <c:v>4337.9984126984127</c:v>
                </c:pt>
                <c:pt idx="3">
                  <c:v>5011.1525396825391</c:v>
                </c:pt>
                <c:pt idx="4">
                  <c:v>11653.011904761905</c:v>
                </c:pt>
                <c:pt idx="5">
                  <c:v>12684.044126984127</c:v>
                </c:pt>
                <c:pt idx="6">
                  <c:v>5954.7495238095235</c:v>
                </c:pt>
              </c:numCache>
            </c:numRef>
          </c:val>
          <c:extLst>
            <c:ext xmlns:c16="http://schemas.microsoft.com/office/drawing/2014/chart" uri="{C3380CC4-5D6E-409C-BE32-E72D297353CC}">
              <c16:uniqueId val="{00000000-A5BE-AE47-AC62-DFB178BF1B9F}"/>
            </c:ext>
          </c:extLst>
        </c:ser>
        <c:dLbls>
          <c:showLegendKey val="0"/>
          <c:showVal val="0"/>
          <c:showCatName val="0"/>
          <c:showSerName val="0"/>
          <c:showPercent val="0"/>
          <c:showBubbleSize val="0"/>
        </c:dLbls>
        <c:gapWidth val="150"/>
        <c:axId val="1886757679"/>
        <c:axId val="733949664"/>
      </c:barChart>
      <c:catAx>
        <c:axId val="188675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49664"/>
        <c:auto val="1"/>
        <c:lblAlgn val="ctr"/>
        <c:lblOffset val="100"/>
        <c:noMultiLvlLbl val="0"/>
      </c:catAx>
      <c:valAx>
        <c:axId val="733949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86757679"/>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282653</xdr:colOff>
      <xdr:row>9</xdr:row>
      <xdr:rowOff>6350</xdr:rowOff>
    </xdr:from>
    <xdr:to>
      <xdr:col>11</xdr:col>
      <xdr:colOff>787400</xdr:colOff>
      <xdr:row>22</xdr:row>
      <xdr:rowOff>0</xdr:rowOff>
    </xdr:to>
    <xdr:graphicFrame macro="">
      <xdr:nvGraphicFramePr>
        <xdr:cNvPr id="4" name="Chart 3">
          <a:extLst>
            <a:ext uri="{FF2B5EF4-FFF2-40B4-BE49-F238E27FC236}">
              <a16:creationId xmlns:a16="http://schemas.microsoft.com/office/drawing/2014/main" id="{1D572FBF-D31E-1666-BA6C-ADE87721A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25400</xdr:colOff>
      <xdr:row>9</xdr:row>
      <xdr:rowOff>6350</xdr:rowOff>
    </xdr:from>
    <xdr:to>
      <xdr:col>20</xdr:col>
      <xdr:colOff>0</xdr:colOff>
      <xdr:row>22</xdr:row>
      <xdr:rowOff>0</xdr:rowOff>
    </xdr:to>
    <xdr:graphicFrame macro="">
      <xdr:nvGraphicFramePr>
        <xdr:cNvPr id="5" name="Chart 4">
          <a:extLst>
            <a:ext uri="{FF2B5EF4-FFF2-40B4-BE49-F238E27FC236}">
              <a16:creationId xmlns:a16="http://schemas.microsoft.com/office/drawing/2014/main" id="{0B796FFE-E6A3-7EC5-E352-BD5C30C02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23</xdr:row>
      <xdr:rowOff>12700</xdr:rowOff>
    </xdr:from>
    <xdr:to>
      <xdr:col>20</xdr:col>
      <xdr:colOff>12700</xdr:colOff>
      <xdr:row>31</xdr:row>
      <xdr:rowOff>254000</xdr:rowOff>
    </xdr:to>
    <xdr:graphicFrame macro="">
      <xdr:nvGraphicFramePr>
        <xdr:cNvPr id="6" name="Chart 5">
          <a:extLst>
            <a:ext uri="{FF2B5EF4-FFF2-40B4-BE49-F238E27FC236}">
              <a16:creationId xmlns:a16="http://schemas.microsoft.com/office/drawing/2014/main" id="{A6CE2A6F-9086-761B-F669-83D8D1B52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228600</xdr:colOff>
      <xdr:row>2</xdr:row>
      <xdr:rowOff>25400</xdr:rowOff>
    </xdr:from>
    <xdr:to>
      <xdr:col>26</xdr:col>
      <xdr:colOff>254000</xdr:colOff>
      <xdr:row>31</xdr:row>
      <xdr:rowOff>279400</xdr:rowOff>
    </xdr:to>
    <xdr:graphicFrame macro="">
      <xdr:nvGraphicFramePr>
        <xdr:cNvPr id="7" name="Chart 6">
          <a:extLst>
            <a:ext uri="{FF2B5EF4-FFF2-40B4-BE49-F238E27FC236}">
              <a16:creationId xmlns:a16="http://schemas.microsoft.com/office/drawing/2014/main" id="{11072E52-248D-56EB-B698-5674C44CE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ookie Lee" id="{FA1B03F5-7C9E-4F17-B182-C7678A67D0EC}"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15EE35-D0B9-644D-A72B-DC703951A281}" name="tblMonthlySummary" displayName="tblMonthlySummary" ref="A1:H16" totalsRowShown="0" headerRowDxfId="14" dataDxfId="15" headerRowBorderDxfId="21" tableBorderDxfId="22" headerRowCellStyle="Heading 1">
  <autoFilter ref="A1:H16" xr:uid="{6815EE35-D0B9-644D-A72B-DC703951A281}"/>
  <tableColumns count="8">
    <tableColumn id="1" xr3:uid="{E78819DD-6622-9F44-BF90-563779266AA7}" name="Month_Year" dataDxfId="20"/>
    <tableColumn id="2" xr3:uid="{C3CD2E4B-EEEC-C94B-88B4-1417A23BCB08}" name="Net_Sales" dataDxfId="19"/>
    <tableColumn id="3" xr3:uid="{A073DB29-E3B3-7A4F-8969-D1B3F86D883C}" name="Tax Payment" dataDxfId="18"/>
    <tableColumn id="4" xr3:uid="{5004A061-44FE-4E4F-AE8B-5861F8B909B9}" name="Projected_Value" dataDxfId="17"/>
    <tableColumn id="5" xr3:uid="{D0D3D483-8046-8340-A849-80BED0A64521}" name="Variance" dataDxfId="16"/>
    <tableColumn id="6" xr3:uid="{9C6B3111-CC3D-BF43-92ED-609C38D6994F}" name="Rolling_Variance" dataDxfId="5"/>
    <tableColumn id="7" xr3:uid="{E0D9681E-6C4B-2A4A-B9D6-2EE6E101DE48}" name="Month_Label" dataDxfId="3"/>
    <tableColumn id="8" xr3:uid="{51E96DD8-5A99-9141-A094-CDB9CB7F6FEC}" name="Month_Sort" dataDxfId="4">
      <calculatedColumnFormula>tblMonthlySummary[[#This Row],[Month_Year]]</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D9F18A-EAA5-C54A-AC88-98FCF8BAAA92}" name="tblDailySales" displayName="tblDailySales" ref="A1:E442" totalsRowShown="0" headerRowDxfId="6" dataDxfId="7" headerRowBorderDxfId="13" headerRowCellStyle="Heading 1">
  <autoFilter ref="A1:E442" xr:uid="{CCD9F18A-EAA5-C54A-AC88-98FCF8BAAA92}"/>
  <tableColumns count="5">
    <tableColumn id="1" xr3:uid="{DF3B2EFB-C98E-D34A-9415-6DB08DF833C0}" name="Sale_Date" dataDxfId="12">
      <calculatedColumnFormula array="1">INDEX(clean_weekly_data!$A:$A,$E2)+MOD(ROW()-2,7)</calculatedColumnFormula>
    </tableColumn>
    <tableColumn id="2" xr3:uid="{C64C8F4C-4D1E-074A-B404-473AE0574393}" name="Day_Name" dataDxfId="11">
      <calculatedColumnFormula>CHOOSE(MOD(ROW()-2,7)+1,"Monday","Tuesday","Wednesday","Thursday","Friday","Saturday","Sunday")</calculatedColumnFormula>
    </tableColumn>
    <tableColumn id="3" xr3:uid="{5E7CC85D-3170-F946-A589-FA5C1AB097DE}" name="Sales" dataDxfId="10">
      <calculatedColumnFormula array="1">INDEX(clean_weekly_data!$C:$I,$E2,MOD(ROW()-2,7)+1)</calculatedColumnFormula>
    </tableColumn>
    <tableColumn id="4" xr3:uid="{029E8378-6378-614C-A86B-C5DF8A42CE36}" name="Month_Year" dataDxfId="9">
      <calculatedColumnFormula>TEXT(A2,"mmm yyyy")</calculatedColumnFormula>
    </tableColumn>
    <tableColumn id="5" xr3:uid="{887B7C1D-5B60-A649-BC97-5138188A8489}" name="Weekly_Row_Source" dataDxfId="8">
      <calculatedColumnFormula>INT((ROW()-2)/7)+2</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5-02-12T17:08:18.00" personId="{FA1B03F5-7C9E-4F17-B182-C7678A67D0EC}" id="{570E86E3-5867-428F-8FBD-D571D5977A2C}">
    <text>Private event Valor Capital</text>
  </threadedComment>
  <threadedComment ref="I7" dT="2025-02-12T17:08:05.00" personId="{FA1B03F5-7C9E-4F17-B182-C7678A67D0EC}" id="{64C205B3-84F2-4D54-A401-7EEF549F23BB}">
    <text>Superbowl Sunday / decided to close at 5pm.</text>
  </threadedComment>
  <threadedComment ref="G8" dT="2025-03-07T19:03:47.00" personId="{FA1B03F5-7C9E-4F17-B182-C7678A67D0EC}" id="{AAA10657-E128-4EBB-BC4A-CF7A84FA7A70}">
    <text>Valentines day</text>
  </threadedComment>
  <threadedComment ref="H12" dT="2025-03-17T01:02:08.00" personId="{FA1B03F5-7C9E-4F17-B182-C7678A67D0EC}" id="{48022220-33FD-4396-82B3-9B054BA53EB3}">
    <text>st Patty's weekend</text>
  </threadedComment>
  <threadedComment ref="J13" dT="2025-03-24T16:09:20.00" personId="{FA1B03F5-7C9E-4F17-B182-C7678A67D0EC}" id="{85E57CB7-ABF7-47EA-9E90-B1D1AFB61056}">
    <text>Started running IG ads?</text>
  </threadedComment>
  <threadedComment ref="J16" dT="2025-04-13T02:57:14.00" personId="{FA1B03F5-7C9E-4F17-B182-C7678A67D0EC}" id="{66FDB7C9-E549-43B4-8FBA-98A569E93F4B}">
    <text>Spring break</text>
  </threadedComment>
  <threadedComment ref="I17" dT="2025-04-23T18:40:02.00" personId="{FA1B03F5-7C9E-4F17-B182-C7678A67D0EC}" id="{56505571-A893-49C2-8FE5-954192F99079}">
    <text>Easter Sunday slow</text>
  </threadedComment>
  <threadedComment ref="H20" dT="2025-05-12T01:50:00.00" personId="{FA1B03F5-7C9E-4F17-B182-C7678A67D0EC}" id="{783C6994-96CE-426C-884A-206988B63B5B}">
    <text>Great weather all day</text>
  </threadedComment>
  <threadedComment ref="I20" dT="2025-05-12T01:49:46.00" personId="{FA1B03F5-7C9E-4F17-B182-C7678A67D0EC}" id="{762603B4-9E3F-48B6-8948-CBF1A5F163DB}">
    <text>Mother's Day</text>
  </threadedComment>
  <threadedComment ref="H22" dT="2025-05-27T19:35:02.00" personId="{FA1B03F5-7C9E-4F17-B182-C7678A67D0EC}" id="{5E04CB15-150F-4762-9C69-90320035D9D0}">
    <text>Slow dinner</text>
  </threadedComment>
  <threadedComment ref="I22" dT="2025-05-27T19:34:27.00" personId="{FA1B03F5-7C9E-4F17-B182-C7678A67D0EC}" id="{30B41310-1F10-467A-9CDD-51486DF2B914}">
    <text>slow lunch, rush walk-ins dinner</text>
  </threadedComment>
  <threadedComment ref="C23" dT="2025-06-02T18:58:15.00" personId="{FA1B03F5-7C9E-4F17-B182-C7678A67D0EC}" id="{EE6BB0EF-4D5B-4BE1-8BC0-69317E5891AA}">
    <text>Closed for Memorial day</text>
  </threadedComment>
  <threadedComment ref="G23" dT="2025-06-01T02:28:22.00" personId="{FA1B03F5-7C9E-4F17-B182-C7678A67D0EC}" id="{7116A2EA-5558-43B0-B227-655580333A26}">
    <text>cloudy, called patio resos to cancel, dribble rain</text>
  </threadedComment>
  <threadedComment ref="C25" dT="2025-06-10T17:25:10.00" personId="{FA1B03F5-7C9E-4F17-B182-C7678A67D0EC}" id="{5CE295D6-5EE2-428C-9CF7-8D4001DB8B94}">
    <text>first car show monday. Meh</text>
  </threadedComment>
  <threadedComment ref="I25" dT="2025-06-30T03:58:35.00" personId="{FA1B03F5-7C9E-4F17-B182-C7678A67D0EC}" id="{24207E26-DD6D-4CA5-8A60-5573E005F0FC}">
    <text>Father's day</text>
  </threadedComment>
  <threadedComment ref="G30" dT="2025-07-19T18:04:40.00" personId="{FA1B03F5-7C9E-4F17-B182-C7678A67D0EC}" id="{EA555A94-0793-4567-8FD6-65062CB997FE}">
    <text>Ordered 7 cs Prosecco week before and ran out</text>
  </threadedComment>
</ThreadedComments>
</file>

<file path=xl/threadedComments/threadedComment2.xml><?xml version="1.0" encoding="utf-8"?>
<ThreadedComments xmlns="http://schemas.microsoft.com/office/spreadsheetml/2018/threadedcomments" xmlns:x="http://schemas.openxmlformats.org/spreadsheetml/2006/main">
  <threadedComment ref="D7" dT="2025-02-12T17:08:18.00" personId="{FA1B03F5-7C9E-4F17-B182-C7678A67D0EC}" id="{2DAFEE8B-11A8-964F-8F97-38F9CAACB3FB}">
    <text>Private event Valor Capital</text>
  </threadedComment>
  <threadedComment ref="I7" dT="2025-02-12T17:08:05.00" personId="{FA1B03F5-7C9E-4F17-B182-C7678A67D0EC}" id="{D080A982-866D-6346-8538-AB27FD2FBC9C}">
    <text>Superbowl Sunday / decided to close at 5pm.</text>
  </threadedComment>
  <threadedComment ref="G8" dT="2025-03-07T19:03:47.00" personId="{FA1B03F5-7C9E-4F17-B182-C7678A67D0EC}" id="{0EFFD31B-2298-434A-AB30-F35409B3E41B}">
    <text>Valentines day</text>
  </threadedComment>
  <threadedComment ref="H12" dT="2025-03-17T01:02:08.00" personId="{FA1B03F5-7C9E-4F17-B182-C7678A67D0EC}" id="{77BAEE6A-93B6-E54C-B91E-5666247733C3}">
    <text>st Patty's weekend</text>
  </threadedComment>
  <threadedComment ref="J13" dT="2025-03-24T16:09:20.00" personId="{FA1B03F5-7C9E-4F17-B182-C7678A67D0EC}" id="{7D1D2A10-0C00-E34D-8193-5F2BC30516E0}">
    <text>Started running IG ads?</text>
  </threadedComment>
  <threadedComment ref="J16" dT="2025-04-13T02:57:14.00" personId="{FA1B03F5-7C9E-4F17-B182-C7678A67D0EC}" id="{756FCA83-7E20-EE42-831C-030A8DDE97CB}">
    <text>Spring break</text>
  </threadedComment>
  <threadedComment ref="I17" dT="2025-04-23T18:40:02.00" personId="{FA1B03F5-7C9E-4F17-B182-C7678A67D0EC}" id="{C3D65B88-E4DA-814D-B68D-B37750DDF47F}">
    <text>Easter Sunday slow</text>
  </threadedComment>
  <threadedComment ref="H20" dT="2025-05-12T01:50:00.00" personId="{FA1B03F5-7C9E-4F17-B182-C7678A67D0EC}" id="{A2A9D41A-278B-9E4A-9140-F0B480296541}">
    <text>Great weather all day</text>
  </threadedComment>
  <threadedComment ref="I20" dT="2025-05-12T01:49:46.00" personId="{FA1B03F5-7C9E-4F17-B182-C7678A67D0EC}" id="{4D02FAD9-A8F8-834F-BE71-49FBA8C47022}">
    <text>Mother's Day</text>
  </threadedComment>
  <threadedComment ref="H22" dT="2025-05-27T19:35:02.00" personId="{FA1B03F5-7C9E-4F17-B182-C7678A67D0EC}" id="{56D20771-48EE-4D48-8385-33695576B1FC}">
    <text>Slow dinner</text>
  </threadedComment>
  <threadedComment ref="I22" dT="2025-05-27T19:34:27.00" personId="{FA1B03F5-7C9E-4F17-B182-C7678A67D0EC}" id="{1072CA2E-8230-7C45-B6AE-690AB2327F61}">
    <text>slow lunch, rush walk-ins dinner</text>
  </threadedComment>
  <threadedComment ref="C23" dT="2025-06-02T18:58:15.00" personId="{FA1B03F5-7C9E-4F17-B182-C7678A67D0EC}" id="{61703071-5520-F44E-8CCF-4FD589103EA9}">
    <text>Closed for Memorial day</text>
  </threadedComment>
  <threadedComment ref="G23" dT="2025-06-01T02:28:22.00" personId="{FA1B03F5-7C9E-4F17-B182-C7678A67D0EC}" id="{B952492B-F8B3-6945-A73E-717F6288D3D6}">
    <text>cloudy, called patio resos to cancel, dribble rain</text>
  </threadedComment>
  <threadedComment ref="C25" dT="2025-06-10T17:25:10.00" personId="{FA1B03F5-7C9E-4F17-B182-C7678A67D0EC}" id="{A676E325-02C7-624A-B473-DC309AE302B1}">
    <text>first car show monday. Meh</text>
  </threadedComment>
  <threadedComment ref="I25" dT="2025-06-30T03:58:35.00" personId="{FA1B03F5-7C9E-4F17-B182-C7678A67D0EC}" id="{16C48595-FBE3-714D-A927-B1ADD5C7003B}">
    <text>Father's day</text>
  </threadedComment>
  <threadedComment ref="G30" dT="2025-07-19T18:04:40.00" personId="{FA1B03F5-7C9E-4F17-B182-C7678A67D0EC}" id="{A5AD46E8-250D-EC4D-8E42-74CF9A664364}">
    <text>Ordered 7 cs Prosecco week before and ran out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2"/>
  <sheetViews>
    <sheetView workbookViewId="0">
      <pane ySplit="1" topLeftCell="A2" activePane="bottomLeft" state="frozen"/>
      <selection pane="bottomLeft" activeCell="U4" sqref="U4"/>
    </sheetView>
  </sheetViews>
  <sheetFormatPr baseColWidth="10" defaultColWidth="12.6640625" defaultRowHeight="15.75" customHeight="1" outlineLevelCol="1" x14ac:dyDescent="0.15"/>
  <cols>
    <col min="1" max="1" width="18.83203125" customWidth="1"/>
    <col min="2" max="3" width="24.6640625" customWidth="1"/>
    <col min="4" max="5" width="17.33203125" customWidth="1"/>
    <col min="6" max="6" width="14.5" customWidth="1"/>
    <col min="7" max="7" width="14.83203125" customWidth="1"/>
    <col min="8" max="8" width="16.5" customWidth="1"/>
    <col min="9" max="9" width="17.83203125" customWidth="1"/>
    <col min="10" max="10" width="21.33203125" customWidth="1"/>
    <col min="11" max="11" width="40.83203125" customWidth="1"/>
    <col min="12" max="12" width="74.33203125" customWidth="1"/>
    <col min="13" max="13" width="26.83203125" customWidth="1" outlineLevel="1"/>
    <col min="14" max="17" width="12.6640625" outlineLevel="1"/>
    <col min="18" max="20" width="15.33203125" customWidth="1" outlineLevel="1"/>
    <col min="21" max="21" width="11.1640625" bestFit="1" customWidth="1" outlineLevel="1"/>
  </cols>
  <sheetData>
    <row r="1" spans="1:21" ht="30" customHeight="1" x14ac:dyDescent="0.15">
      <c r="A1" s="1" t="s">
        <v>0</v>
      </c>
      <c r="B1" s="1" t="s">
        <v>1</v>
      </c>
      <c r="C1" s="1" t="s">
        <v>2</v>
      </c>
      <c r="D1" s="1" t="s">
        <v>3</v>
      </c>
      <c r="E1" s="1" t="s">
        <v>4</v>
      </c>
      <c r="F1" s="1" t="s">
        <v>5</v>
      </c>
      <c r="G1" s="1" t="s">
        <v>6</v>
      </c>
      <c r="H1" s="1" t="s">
        <v>7</v>
      </c>
      <c r="I1" s="1" t="s">
        <v>8</v>
      </c>
      <c r="J1" s="2" t="s">
        <v>9</v>
      </c>
      <c r="K1" s="3" t="s">
        <v>10</v>
      </c>
      <c r="L1" s="4" t="s">
        <v>11</v>
      </c>
      <c r="M1" s="5" t="s">
        <v>12</v>
      </c>
      <c r="N1" s="5" t="s">
        <v>13</v>
      </c>
      <c r="O1" s="5" t="s">
        <v>14</v>
      </c>
      <c r="P1" s="6">
        <v>0.08</v>
      </c>
      <c r="Q1" s="3" t="s">
        <v>15</v>
      </c>
      <c r="R1" s="3" t="s">
        <v>16</v>
      </c>
      <c r="S1" s="3" t="s">
        <v>17</v>
      </c>
      <c r="T1" s="3"/>
    </row>
    <row r="2" spans="1:21" ht="15.75" customHeight="1" x14ac:dyDescent="0.15">
      <c r="A2" s="7">
        <v>46021</v>
      </c>
      <c r="B2" s="7">
        <v>45662</v>
      </c>
      <c r="C2" s="8">
        <v>7526.6</v>
      </c>
      <c r="D2" s="9">
        <v>0</v>
      </c>
      <c r="E2" s="9">
        <v>3689.55</v>
      </c>
      <c r="F2" s="8">
        <v>6453.51</v>
      </c>
      <c r="G2" s="9">
        <v>11241.1</v>
      </c>
      <c r="H2" s="9">
        <v>14053.74</v>
      </c>
      <c r="I2" s="9">
        <v>5195.91</v>
      </c>
      <c r="J2" s="10">
        <v>48160.4</v>
      </c>
      <c r="K2" s="3"/>
      <c r="L2" s="11" t="s">
        <v>18</v>
      </c>
      <c r="M2" s="12" t="s">
        <v>19</v>
      </c>
      <c r="N2" s="13">
        <v>178480</v>
      </c>
      <c r="O2" s="13">
        <f t="shared" ref="O2:O13" si="0">N2*$P$1</f>
        <v>14278.4</v>
      </c>
      <c r="Q2" s="9">
        <v>187244</v>
      </c>
      <c r="R2" s="9">
        <f t="shared" ref="R2:R13" si="1">N2-Q2</f>
        <v>-8764</v>
      </c>
      <c r="S2" s="9">
        <f>N2-Q2</f>
        <v>-8764</v>
      </c>
      <c r="T2" s="9">
        <f>N2-Q2</f>
        <v>-8764</v>
      </c>
    </row>
    <row r="3" spans="1:21" ht="13" x14ac:dyDescent="0.15">
      <c r="A3" s="7">
        <f t="shared" ref="A3:B3" si="2">A2+7</f>
        <v>46028</v>
      </c>
      <c r="B3" s="7">
        <f t="shared" si="2"/>
        <v>45669</v>
      </c>
      <c r="C3" s="9">
        <v>3232.85</v>
      </c>
      <c r="D3" s="9">
        <v>0</v>
      </c>
      <c r="E3" s="9">
        <v>4285</v>
      </c>
      <c r="F3" s="9">
        <v>4601.6499999999996</v>
      </c>
      <c r="G3" s="9">
        <v>9380.6</v>
      </c>
      <c r="H3" s="9">
        <v>14013.45</v>
      </c>
      <c r="I3" s="9">
        <v>3276.11</v>
      </c>
      <c r="J3" s="10">
        <v>38789.660000000003</v>
      </c>
      <c r="K3" s="14">
        <f>(J3-J2)/J2</f>
        <v>-0.19457355005357094</v>
      </c>
      <c r="L3" s="11"/>
      <c r="M3" s="12" t="s">
        <v>20</v>
      </c>
      <c r="N3" s="13">
        <v>165973.39000000001</v>
      </c>
      <c r="O3" s="13">
        <f t="shared" si="0"/>
        <v>13277.871200000001</v>
      </c>
      <c r="Q3" s="9">
        <v>187244</v>
      </c>
      <c r="R3" s="9">
        <f t="shared" si="1"/>
        <v>-21270.609999999986</v>
      </c>
      <c r="S3" s="9">
        <f t="shared" ref="S3:S8" si="3">R3+S2</f>
        <v>-30034.609999999986</v>
      </c>
      <c r="T3" s="9">
        <f>R3+S2</f>
        <v>-30034.609999999986</v>
      </c>
    </row>
    <row r="4" spans="1:21" ht="13" x14ac:dyDescent="0.15">
      <c r="A4" s="7">
        <f t="shared" ref="A4:B4" si="4">A3+7</f>
        <v>46035</v>
      </c>
      <c r="B4" s="7">
        <f t="shared" si="4"/>
        <v>45676</v>
      </c>
      <c r="C4" s="9">
        <v>2873.63</v>
      </c>
      <c r="D4" s="9">
        <v>0</v>
      </c>
      <c r="E4" s="9">
        <v>3636.3</v>
      </c>
      <c r="F4" s="9">
        <v>4807.3999999999996</v>
      </c>
      <c r="G4" s="9">
        <v>10376.25</v>
      </c>
      <c r="H4" s="9">
        <v>10088.6</v>
      </c>
      <c r="I4" s="9">
        <v>6109.2</v>
      </c>
      <c r="J4" s="10">
        <v>37891.379999999997</v>
      </c>
      <c r="K4" s="14">
        <f>(J4-J3)/J3</f>
        <v>-2.3157717804177868E-2</v>
      </c>
      <c r="L4" s="11"/>
      <c r="M4" s="12" t="s">
        <v>21</v>
      </c>
      <c r="N4" s="13">
        <v>183697.3</v>
      </c>
      <c r="O4" s="13">
        <f t="shared" si="0"/>
        <v>14695.784</v>
      </c>
      <c r="Q4" s="9">
        <v>187244</v>
      </c>
      <c r="R4" s="9">
        <f t="shared" si="1"/>
        <v>-3546.7000000000116</v>
      </c>
      <c r="S4" s="9">
        <f t="shared" si="3"/>
        <v>-33581.31</v>
      </c>
      <c r="T4" s="9">
        <f>R4+S3</f>
        <v>-33581.31</v>
      </c>
      <c r="U4" s="9">
        <f>SUM(N2:N4)</f>
        <v>528150.68999999994</v>
      </c>
    </row>
    <row r="5" spans="1:21" ht="13" x14ac:dyDescent="0.15">
      <c r="A5" s="7">
        <v>45677</v>
      </c>
      <c r="B5" s="7">
        <v>45683</v>
      </c>
      <c r="C5" s="9">
        <v>1724</v>
      </c>
      <c r="D5" s="9">
        <v>0</v>
      </c>
      <c r="E5" s="9">
        <v>2215.5</v>
      </c>
      <c r="F5" s="9">
        <v>4748.75</v>
      </c>
      <c r="G5" s="9">
        <v>12688.2</v>
      </c>
      <c r="H5" s="9">
        <v>14742.33</v>
      </c>
      <c r="I5" s="9">
        <v>3842.2</v>
      </c>
      <c r="J5" s="10">
        <v>39960.980000000003</v>
      </c>
      <c r="K5" s="14">
        <f>(J5-J4)/J4</f>
        <v>5.4619282802579529E-2</v>
      </c>
      <c r="L5" s="11"/>
      <c r="M5" s="15" t="s">
        <v>22</v>
      </c>
      <c r="N5" s="9">
        <v>152004.96</v>
      </c>
      <c r="O5" s="9">
        <f t="shared" si="0"/>
        <v>12160.3968</v>
      </c>
      <c r="P5" s="9">
        <v>12166.82</v>
      </c>
      <c r="Q5" s="9">
        <v>187244</v>
      </c>
      <c r="R5" s="9">
        <f t="shared" si="1"/>
        <v>-35239.040000000008</v>
      </c>
      <c r="S5" s="9">
        <f t="shared" si="3"/>
        <v>-68820.350000000006</v>
      </c>
      <c r="T5" s="9">
        <f>R5+S4</f>
        <v>-68820.350000000006</v>
      </c>
    </row>
    <row r="6" spans="1:21" ht="14" x14ac:dyDescent="0.15">
      <c r="A6" s="7">
        <v>45684</v>
      </c>
      <c r="B6" s="7">
        <v>45690</v>
      </c>
      <c r="C6" s="9">
        <v>3493.05</v>
      </c>
      <c r="D6" s="9">
        <v>0</v>
      </c>
      <c r="E6" s="9">
        <v>4034.15</v>
      </c>
      <c r="F6" s="9">
        <v>3766.75</v>
      </c>
      <c r="G6" s="9">
        <v>10237.15</v>
      </c>
      <c r="H6" s="9">
        <v>15657.91</v>
      </c>
      <c r="I6" s="9">
        <v>5008.25</v>
      </c>
      <c r="J6" s="10">
        <v>42197.26</v>
      </c>
      <c r="K6" s="14">
        <f>(J6-J5)/J5</f>
        <v>5.5961590531563507E-2</v>
      </c>
      <c r="L6" s="11" t="s">
        <v>23</v>
      </c>
      <c r="M6" s="15" t="s">
        <v>24</v>
      </c>
      <c r="N6" s="9">
        <v>217601.23</v>
      </c>
      <c r="O6" s="9">
        <f t="shared" si="0"/>
        <v>17408.098400000003</v>
      </c>
      <c r="P6" s="9">
        <v>17430.21</v>
      </c>
      <c r="Q6" s="9">
        <v>187244</v>
      </c>
      <c r="R6" s="9">
        <f t="shared" si="1"/>
        <v>30357.23000000001</v>
      </c>
      <c r="S6" s="9">
        <f t="shared" si="3"/>
        <v>-38463.119999999995</v>
      </c>
      <c r="T6" s="9">
        <f>R6+S5</f>
        <v>-38463.119999999995</v>
      </c>
    </row>
    <row r="7" spans="1:21" ht="13" x14ac:dyDescent="0.15">
      <c r="A7" s="7">
        <v>45691</v>
      </c>
      <c r="B7" s="7">
        <v>45697</v>
      </c>
      <c r="C7" s="9">
        <v>2809.11</v>
      </c>
      <c r="D7" s="9">
        <v>4391</v>
      </c>
      <c r="E7" s="9">
        <v>3380.3</v>
      </c>
      <c r="F7" s="9">
        <v>4906</v>
      </c>
      <c r="G7" s="9">
        <v>8830.4500000000007</v>
      </c>
      <c r="H7" s="9">
        <v>12087.75</v>
      </c>
      <c r="I7" s="9">
        <v>1122</v>
      </c>
      <c r="J7" s="10">
        <v>37526.61</v>
      </c>
      <c r="K7" s="14">
        <f>(J7-J6)/J6</f>
        <v>-0.11068609668021102</v>
      </c>
      <c r="L7" s="11"/>
      <c r="M7" s="15" t="s">
        <v>25</v>
      </c>
      <c r="N7" s="9">
        <v>229785.25</v>
      </c>
      <c r="O7" s="9">
        <f t="shared" si="0"/>
        <v>18382.82</v>
      </c>
      <c r="P7" s="9">
        <v>18385.830000000002</v>
      </c>
      <c r="Q7" s="9">
        <v>201393</v>
      </c>
      <c r="R7" s="9">
        <f t="shared" si="1"/>
        <v>28392.25</v>
      </c>
      <c r="S7" s="9">
        <f t="shared" si="3"/>
        <v>-10070.869999999995</v>
      </c>
      <c r="T7" s="9">
        <f>R7+S6</f>
        <v>-10070.869999999995</v>
      </c>
      <c r="U7" s="9">
        <f>SUM(N5:N7)</f>
        <v>599391.43999999994</v>
      </c>
    </row>
    <row r="8" spans="1:21" ht="14" x14ac:dyDescent="0.15">
      <c r="A8" s="7">
        <f t="shared" ref="A8:B8" si="5">A7+7</f>
        <v>45698</v>
      </c>
      <c r="B8" s="7">
        <f t="shared" si="5"/>
        <v>45704</v>
      </c>
      <c r="C8" s="9">
        <v>1424</v>
      </c>
      <c r="D8" s="9">
        <v>0</v>
      </c>
      <c r="E8" s="9">
        <v>1854</v>
      </c>
      <c r="F8" s="9">
        <v>6612</v>
      </c>
      <c r="G8" s="8">
        <v>16427</v>
      </c>
      <c r="H8" s="9">
        <v>15530</v>
      </c>
      <c r="I8" s="9">
        <v>7548</v>
      </c>
      <c r="J8" s="10">
        <f>SUM(C8:I8)</f>
        <v>49395</v>
      </c>
      <c r="K8" s="14">
        <f>(J8-J7)/J7</f>
        <v>0.31626597766225084</v>
      </c>
      <c r="L8" s="11" t="s">
        <v>26</v>
      </c>
      <c r="M8" s="12" t="s">
        <v>27</v>
      </c>
      <c r="N8" s="13">
        <v>250092.41</v>
      </c>
      <c r="O8" s="13">
        <f t="shared" si="0"/>
        <v>20007.392800000001</v>
      </c>
      <c r="P8" s="9">
        <v>20019.3</v>
      </c>
      <c r="Q8" s="9">
        <v>201393</v>
      </c>
      <c r="R8" s="9">
        <f t="shared" si="1"/>
        <v>48699.41</v>
      </c>
      <c r="S8" s="9">
        <f t="shared" si="3"/>
        <v>38628.540000000008</v>
      </c>
      <c r="T8" s="9">
        <f>R8+S7</f>
        <v>38628.540000000008</v>
      </c>
    </row>
    <row r="9" spans="1:21" ht="14" x14ac:dyDescent="0.15">
      <c r="A9" s="7">
        <f t="shared" ref="A9:B9" si="6">A8+7</f>
        <v>45705</v>
      </c>
      <c r="B9" s="7">
        <f t="shared" si="6"/>
        <v>45711</v>
      </c>
      <c r="C9" s="9">
        <v>1873</v>
      </c>
      <c r="D9" s="9">
        <v>0</v>
      </c>
      <c r="E9" s="9">
        <v>3576</v>
      </c>
      <c r="F9" s="9">
        <v>3388</v>
      </c>
      <c r="G9" s="9">
        <v>10389</v>
      </c>
      <c r="H9" s="9">
        <v>13440</v>
      </c>
      <c r="I9" s="9">
        <v>4428</v>
      </c>
      <c r="J9" s="10">
        <f>SUM(C9:I9)</f>
        <v>37094</v>
      </c>
      <c r="K9" s="14">
        <f>(J9-J8)/J8</f>
        <v>-0.24903330296588724</v>
      </c>
      <c r="L9" s="11" t="s">
        <v>28</v>
      </c>
      <c r="M9" s="12" t="s">
        <v>29</v>
      </c>
      <c r="N9" s="13">
        <v>275180.48</v>
      </c>
      <c r="O9" s="13">
        <f t="shared" si="0"/>
        <v>22014.438399999999</v>
      </c>
      <c r="P9" s="9">
        <v>21999.47</v>
      </c>
      <c r="Q9" s="9">
        <v>201393</v>
      </c>
      <c r="R9" s="9">
        <f t="shared" si="1"/>
        <v>73787.479999999981</v>
      </c>
      <c r="S9" s="9">
        <f t="shared" ref="S9:S13" si="7">N9-Q9+S8</f>
        <v>112416.01999999999</v>
      </c>
      <c r="T9" s="9">
        <f t="shared" ref="T9:T13" si="8">R9+S8</f>
        <v>112416.01999999999</v>
      </c>
    </row>
    <row r="10" spans="1:21" ht="13" x14ac:dyDescent="0.15">
      <c r="A10" s="7">
        <f t="shared" ref="A10:B10" si="9">A9+7</f>
        <v>45712</v>
      </c>
      <c r="B10" s="7">
        <f t="shared" si="9"/>
        <v>45718</v>
      </c>
      <c r="C10" s="9">
        <v>2144</v>
      </c>
      <c r="D10" s="9">
        <v>0</v>
      </c>
      <c r="E10" s="9">
        <v>2466</v>
      </c>
      <c r="F10" s="9">
        <v>5886</v>
      </c>
      <c r="G10" s="9">
        <v>10886</v>
      </c>
      <c r="H10" s="9">
        <v>13701</v>
      </c>
      <c r="I10" s="9">
        <v>5490</v>
      </c>
      <c r="J10" s="10">
        <f>SUM(C10:I10)</f>
        <v>40573</v>
      </c>
      <c r="K10" s="14">
        <f>(J10-J9)/J9</f>
        <v>9.378875289804281E-2</v>
      </c>
      <c r="L10" s="11"/>
      <c r="M10" s="12" t="s">
        <v>30</v>
      </c>
      <c r="N10" s="13">
        <v>206496.41</v>
      </c>
      <c r="O10" s="13">
        <f t="shared" si="0"/>
        <v>16519.712800000001</v>
      </c>
      <c r="P10" s="9">
        <v>16536.73</v>
      </c>
      <c r="Q10" s="9">
        <v>201393</v>
      </c>
      <c r="R10" s="9">
        <f t="shared" si="1"/>
        <v>5103.4100000000035</v>
      </c>
      <c r="S10" s="9">
        <f t="shared" si="7"/>
        <v>117519.43</v>
      </c>
      <c r="T10" s="9">
        <f t="shared" si="8"/>
        <v>117519.43</v>
      </c>
      <c r="U10" s="9">
        <f>SUM(N8:N10)</f>
        <v>731769.3</v>
      </c>
    </row>
    <row r="11" spans="1:21" ht="13" x14ac:dyDescent="0.15">
      <c r="A11" s="7">
        <f t="shared" ref="A11:B11" si="10">A10+7</f>
        <v>45719</v>
      </c>
      <c r="B11" s="7">
        <f t="shared" si="10"/>
        <v>45725</v>
      </c>
      <c r="C11" s="9">
        <v>1961</v>
      </c>
      <c r="D11" s="9">
        <v>0</v>
      </c>
      <c r="E11" s="9">
        <v>3458</v>
      </c>
      <c r="F11" s="9">
        <v>2996.6</v>
      </c>
      <c r="G11" s="9">
        <v>10998</v>
      </c>
      <c r="H11" s="9">
        <v>12545</v>
      </c>
      <c r="I11" s="9">
        <v>5549</v>
      </c>
      <c r="J11" s="10">
        <f>SUM(C11:I11)</f>
        <v>37507.599999999999</v>
      </c>
      <c r="K11" s="14">
        <f>(J11-J10)/J10</f>
        <v>-7.5552707465555952E-2</v>
      </c>
      <c r="L11" s="11"/>
      <c r="M11" s="15" t="s">
        <v>31</v>
      </c>
      <c r="N11" s="9">
        <v>196724.55</v>
      </c>
      <c r="O11" s="9">
        <f t="shared" si="0"/>
        <v>15737.964</v>
      </c>
      <c r="P11" s="9">
        <v>15747.47</v>
      </c>
      <c r="Q11" s="9">
        <v>201393</v>
      </c>
      <c r="R11" s="9">
        <f t="shared" si="1"/>
        <v>-4668.4500000000116</v>
      </c>
      <c r="S11" s="9">
        <f t="shared" si="7"/>
        <v>112850.97999999998</v>
      </c>
      <c r="T11" s="9">
        <f t="shared" si="8"/>
        <v>112850.97999999998</v>
      </c>
    </row>
    <row r="12" spans="1:21" ht="13" x14ac:dyDescent="0.15">
      <c r="A12" s="7">
        <f t="shared" ref="A12:B12" si="11">A11+7</f>
        <v>45726</v>
      </c>
      <c r="B12" s="7">
        <f t="shared" si="11"/>
        <v>45732</v>
      </c>
      <c r="C12" s="9">
        <v>4895</v>
      </c>
      <c r="D12" s="9">
        <v>0</v>
      </c>
      <c r="E12" s="9">
        <v>4403</v>
      </c>
      <c r="F12" s="9">
        <v>2945</v>
      </c>
      <c r="G12" s="9">
        <v>10542</v>
      </c>
      <c r="H12" s="9">
        <v>11247</v>
      </c>
      <c r="I12" s="9">
        <v>3112</v>
      </c>
      <c r="J12" s="10">
        <f>SUM(C12:I12)</f>
        <v>37144</v>
      </c>
      <c r="K12" s="14">
        <f>(J12-J11)/J11</f>
        <v>-9.6940353421706149E-3</v>
      </c>
      <c r="L12" s="11"/>
      <c r="M12" s="15" t="s">
        <v>32</v>
      </c>
      <c r="N12" s="9">
        <v>180261.16</v>
      </c>
      <c r="O12" s="9">
        <f t="shared" si="0"/>
        <v>14420.892800000001</v>
      </c>
      <c r="P12" s="9">
        <v>14431.86</v>
      </c>
      <c r="Q12" s="9">
        <v>187244</v>
      </c>
      <c r="R12" s="9">
        <f t="shared" si="1"/>
        <v>-6982.8399999999965</v>
      </c>
      <c r="S12" s="9">
        <f t="shared" si="7"/>
        <v>105868.13999999998</v>
      </c>
      <c r="T12" s="9">
        <f t="shared" si="8"/>
        <v>105868.13999999998</v>
      </c>
    </row>
    <row r="13" spans="1:21" ht="13" x14ac:dyDescent="0.15">
      <c r="A13" s="7">
        <f t="shared" ref="A13:B13" si="12">A12+7</f>
        <v>45733</v>
      </c>
      <c r="B13" s="7">
        <f t="shared" si="12"/>
        <v>45739</v>
      </c>
      <c r="C13" s="9">
        <v>3681</v>
      </c>
      <c r="D13" s="9">
        <v>0</v>
      </c>
      <c r="E13" s="9">
        <v>4574</v>
      </c>
      <c r="F13" s="9">
        <v>4023</v>
      </c>
      <c r="G13" s="9">
        <v>11199</v>
      </c>
      <c r="H13" s="9">
        <v>14365</v>
      </c>
      <c r="I13" s="9">
        <v>5519</v>
      </c>
      <c r="J13" s="10">
        <f>SUM(C13:I13)</f>
        <v>43361</v>
      </c>
      <c r="K13" s="14">
        <f>(J13-J12)/J12</f>
        <v>0.16737561921171656</v>
      </c>
      <c r="L13" s="11"/>
      <c r="M13" s="15" t="s">
        <v>33</v>
      </c>
      <c r="N13" s="16"/>
      <c r="O13" s="16">
        <f t="shared" si="0"/>
        <v>0</v>
      </c>
      <c r="P13" s="9"/>
      <c r="Q13" s="16">
        <v>187244</v>
      </c>
      <c r="R13" s="9">
        <f t="shared" si="1"/>
        <v>-187244</v>
      </c>
      <c r="S13" s="9">
        <f t="shared" si="7"/>
        <v>-81375.860000000015</v>
      </c>
      <c r="T13" s="9">
        <f t="shared" si="8"/>
        <v>-81375.860000000015</v>
      </c>
    </row>
    <row r="14" spans="1:21" ht="15.75" customHeight="1" x14ac:dyDescent="0.15">
      <c r="A14" s="7">
        <f t="shared" ref="A14:B14" si="13">A13+7</f>
        <v>45740</v>
      </c>
      <c r="B14" s="7">
        <f t="shared" si="13"/>
        <v>45746</v>
      </c>
      <c r="C14" s="9">
        <v>2821</v>
      </c>
      <c r="D14" s="9">
        <v>0</v>
      </c>
      <c r="E14" s="9">
        <v>4872</v>
      </c>
      <c r="F14" s="9">
        <v>3809</v>
      </c>
      <c r="G14" s="9">
        <v>11848</v>
      </c>
      <c r="H14" s="9">
        <v>12858</v>
      </c>
      <c r="I14" s="9">
        <v>7089</v>
      </c>
      <c r="J14" s="10">
        <f>SUM(C14:I14)</f>
        <v>43297</v>
      </c>
      <c r="K14" s="14">
        <f>(J14-J13)/J13</f>
        <v>-1.475980720001845E-3</v>
      </c>
      <c r="L14" s="11"/>
      <c r="M14" s="3" t="s">
        <v>9</v>
      </c>
      <c r="N14" s="17">
        <f t="shared" ref="N14:O14" si="14">SUM(N2:N13)</f>
        <v>2236297.1399999997</v>
      </c>
      <c r="O14" s="17">
        <f t="shared" si="14"/>
        <v>178903.77120000005</v>
      </c>
      <c r="Q14" s="9">
        <f>SUM(Q2:Q13)</f>
        <v>2317673</v>
      </c>
    </row>
    <row r="15" spans="1:21" ht="13" x14ac:dyDescent="0.15">
      <c r="A15" s="7">
        <v>45747</v>
      </c>
      <c r="B15" s="7">
        <v>45753</v>
      </c>
      <c r="C15" s="9">
        <v>3355</v>
      </c>
      <c r="D15" s="9">
        <v>0</v>
      </c>
      <c r="E15" s="9">
        <v>3614</v>
      </c>
      <c r="F15" s="9">
        <v>4382</v>
      </c>
      <c r="G15" s="9">
        <v>10897</v>
      </c>
      <c r="H15" s="9">
        <v>11210</v>
      </c>
      <c r="I15" s="9">
        <v>6114.5</v>
      </c>
      <c r="J15" s="10">
        <f>SUM(C15:I15)</f>
        <v>39572.5</v>
      </c>
      <c r="K15" s="14">
        <f>(J15-J14)/J14</f>
        <v>-8.6022126244312533E-2</v>
      </c>
      <c r="L15" s="11"/>
    </row>
    <row r="16" spans="1:21" ht="13" x14ac:dyDescent="0.15">
      <c r="A16" s="7">
        <v>45754</v>
      </c>
      <c r="B16" s="7">
        <v>45760</v>
      </c>
      <c r="C16" s="9">
        <v>2556</v>
      </c>
      <c r="D16" s="9">
        <v>0</v>
      </c>
      <c r="E16" s="9">
        <v>2715</v>
      </c>
      <c r="F16" s="9">
        <v>5123</v>
      </c>
      <c r="G16" s="9">
        <v>9878</v>
      </c>
      <c r="H16" s="9">
        <v>12989</v>
      </c>
      <c r="I16" s="9">
        <v>4164</v>
      </c>
      <c r="J16" s="10">
        <f>SUM(C16:I16)</f>
        <v>37425</v>
      </c>
      <c r="K16" s="14">
        <f>(J16-J15)/J15</f>
        <v>-5.4267483732389918E-2</v>
      </c>
      <c r="L16" s="11"/>
      <c r="N16" s="9"/>
      <c r="O16" s="9"/>
    </row>
    <row r="17" spans="1:15" ht="14" x14ac:dyDescent="0.15">
      <c r="A17" s="7">
        <v>45761</v>
      </c>
      <c r="B17" s="7">
        <v>45767</v>
      </c>
      <c r="C17" s="9">
        <v>3225</v>
      </c>
      <c r="D17" s="9">
        <v>0</v>
      </c>
      <c r="E17" s="9">
        <v>3603</v>
      </c>
      <c r="F17" s="9">
        <v>4944</v>
      </c>
      <c r="G17" s="9">
        <v>11764</v>
      </c>
      <c r="H17" s="9">
        <v>11381</v>
      </c>
      <c r="I17" s="9">
        <v>2925</v>
      </c>
      <c r="J17" s="10">
        <f>SUM(C17:I17)</f>
        <v>37842</v>
      </c>
      <c r="K17" s="14">
        <f>(J17-J16)/J16</f>
        <v>1.1142284569138277E-2</v>
      </c>
      <c r="L17" s="11" t="s">
        <v>34</v>
      </c>
      <c r="N17" s="9"/>
      <c r="O17" s="9"/>
    </row>
    <row r="18" spans="1:15" ht="13" x14ac:dyDescent="0.15">
      <c r="A18" s="7">
        <v>45768</v>
      </c>
      <c r="B18" s="7">
        <v>45774</v>
      </c>
      <c r="C18" s="9">
        <v>2902</v>
      </c>
      <c r="D18" s="9">
        <v>0</v>
      </c>
      <c r="E18" s="9">
        <v>3032</v>
      </c>
      <c r="F18" s="9">
        <v>4640</v>
      </c>
      <c r="G18" s="9">
        <v>10664</v>
      </c>
      <c r="H18" s="9">
        <v>11291</v>
      </c>
      <c r="I18" s="9">
        <v>2941</v>
      </c>
      <c r="J18" s="10">
        <f>SUM(C18:I18)</f>
        <v>35470</v>
      </c>
      <c r="K18" s="14">
        <f>(J18-J17)/J17</f>
        <v>-6.2681676444162573E-2</v>
      </c>
      <c r="L18" s="11"/>
      <c r="N18" s="9"/>
      <c r="O18" s="9"/>
    </row>
    <row r="19" spans="1:15" ht="14" x14ac:dyDescent="0.15">
      <c r="A19" s="7">
        <v>45775</v>
      </c>
      <c r="B19" s="7">
        <v>45781</v>
      </c>
      <c r="C19" s="9">
        <v>2822</v>
      </c>
      <c r="D19" s="9">
        <v>0</v>
      </c>
      <c r="E19" s="9">
        <v>2386</v>
      </c>
      <c r="F19" s="9">
        <v>6288</v>
      </c>
      <c r="G19" s="9">
        <v>11945</v>
      </c>
      <c r="H19" s="9">
        <v>12110</v>
      </c>
      <c r="I19" s="9">
        <v>4341</v>
      </c>
      <c r="J19" s="10">
        <f>SUM(C19:I19)</f>
        <v>39892</v>
      </c>
      <c r="K19" s="14">
        <f>(J19-J18)/J18</f>
        <v>0.12466873414152806</v>
      </c>
      <c r="L19" s="11" t="s">
        <v>35</v>
      </c>
      <c r="N19" s="9"/>
      <c r="O19" s="9"/>
    </row>
    <row r="20" spans="1:15" ht="14" x14ac:dyDescent="0.15">
      <c r="A20" s="7">
        <v>45782</v>
      </c>
      <c r="B20" s="7">
        <v>45788</v>
      </c>
      <c r="C20" s="9">
        <v>1474</v>
      </c>
      <c r="D20" s="9">
        <v>0</v>
      </c>
      <c r="E20" s="9">
        <v>4041</v>
      </c>
      <c r="F20" s="9">
        <v>3588</v>
      </c>
      <c r="G20" s="9">
        <v>11708</v>
      </c>
      <c r="H20" s="9">
        <v>14558</v>
      </c>
      <c r="I20" s="8">
        <v>15587.75</v>
      </c>
      <c r="J20" s="10">
        <f>SUM(C20:I20)</f>
        <v>50956.75</v>
      </c>
      <c r="K20" s="14">
        <f>(J20-J19)/J19</f>
        <v>0.27736764263511482</v>
      </c>
      <c r="L20" s="11" t="s">
        <v>36</v>
      </c>
      <c r="N20" s="9"/>
      <c r="O20" s="9"/>
    </row>
    <row r="21" spans="1:15" ht="14" x14ac:dyDescent="0.15">
      <c r="A21" s="7">
        <v>45789</v>
      </c>
      <c r="B21" s="7">
        <v>45795</v>
      </c>
      <c r="C21" s="9">
        <v>3653</v>
      </c>
      <c r="D21" s="9">
        <v>0</v>
      </c>
      <c r="E21" s="9">
        <v>4927</v>
      </c>
      <c r="F21" s="9">
        <v>5650</v>
      </c>
      <c r="G21" s="9">
        <v>11726</v>
      </c>
      <c r="H21" s="9">
        <v>13835</v>
      </c>
      <c r="I21" s="9">
        <v>8377</v>
      </c>
      <c r="J21" s="10">
        <f>SUM(C21:I21)</f>
        <v>48168</v>
      </c>
      <c r="K21" s="14">
        <f>(J21-J20)/J20</f>
        <v>-5.4727783855917027E-2</v>
      </c>
      <c r="L21" s="11" t="s">
        <v>37</v>
      </c>
      <c r="N21" s="9"/>
      <c r="O21" s="9"/>
    </row>
    <row r="22" spans="1:15" ht="14" x14ac:dyDescent="0.15">
      <c r="A22" s="7">
        <v>45796</v>
      </c>
      <c r="B22" s="7">
        <v>45802</v>
      </c>
      <c r="C22" s="9">
        <v>3299</v>
      </c>
      <c r="D22" s="9">
        <v>0</v>
      </c>
      <c r="E22" s="9">
        <v>5200</v>
      </c>
      <c r="F22" s="9">
        <v>4369</v>
      </c>
      <c r="G22" s="9">
        <v>14274</v>
      </c>
      <c r="H22" s="9">
        <v>10887</v>
      </c>
      <c r="I22" s="9">
        <v>7599</v>
      </c>
      <c r="J22" s="10">
        <f>SUM(C22:I22)</f>
        <v>45628</v>
      </c>
      <c r="K22" s="14">
        <f>(J22-J21)/J21</f>
        <v>-5.273210430161103E-2</v>
      </c>
      <c r="L22" s="11" t="s">
        <v>38</v>
      </c>
      <c r="N22" s="9"/>
      <c r="O22" s="9"/>
    </row>
    <row r="23" spans="1:15" ht="14" x14ac:dyDescent="0.15">
      <c r="A23" s="7">
        <v>45803</v>
      </c>
      <c r="B23" s="7">
        <v>45809</v>
      </c>
      <c r="C23" s="9">
        <v>0</v>
      </c>
      <c r="D23" s="9">
        <v>0</v>
      </c>
      <c r="E23" s="9">
        <v>7149</v>
      </c>
      <c r="F23" s="9">
        <v>6069</v>
      </c>
      <c r="G23" s="9">
        <v>11483</v>
      </c>
      <c r="H23" s="9">
        <v>13634</v>
      </c>
      <c r="I23" s="9">
        <v>8915</v>
      </c>
      <c r="J23" s="10">
        <f>SUM(C23:I23)</f>
        <v>47250</v>
      </c>
      <c r="K23" s="14">
        <f>(J23-J22)/J22</f>
        <v>3.554834750591742E-2</v>
      </c>
      <c r="L23" s="11" t="s">
        <v>39</v>
      </c>
      <c r="N23" s="9"/>
      <c r="O23" s="9"/>
    </row>
    <row r="24" spans="1:15" ht="14" x14ac:dyDescent="0.15">
      <c r="A24" s="7">
        <v>45810</v>
      </c>
      <c r="B24" s="7">
        <v>45816</v>
      </c>
      <c r="C24" s="9">
        <v>5029</v>
      </c>
      <c r="D24" s="9">
        <v>0</v>
      </c>
      <c r="E24" s="9">
        <v>6096</v>
      </c>
      <c r="F24" s="9">
        <v>6515.6</v>
      </c>
      <c r="G24" s="9">
        <v>14041</v>
      </c>
      <c r="H24" s="9">
        <v>11141</v>
      </c>
      <c r="I24" s="9">
        <v>9759</v>
      </c>
      <c r="J24" s="10">
        <f>SUM(C24:I24)</f>
        <v>52581.599999999999</v>
      </c>
      <c r="K24" s="14">
        <f>(J24-J23)/J23</f>
        <v>0.11283809523809521</v>
      </c>
      <c r="L24" s="11" t="s">
        <v>40</v>
      </c>
      <c r="N24" s="9"/>
      <c r="O24" s="9"/>
    </row>
    <row r="25" spans="1:15" ht="14" x14ac:dyDescent="0.15">
      <c r="A25" s="7">
        <v>45817</v>
      </c>
      <c r="B25" s="7">
        <v>45823</v>
      </c>
      <c r="C25" s="9">
        <v>2645</v>
      </c>
      <c r="D25" s="9">
        <v>3642</v>
      </c>
      <c r="E25" s="9">
        <v>7078</v>
      </c>
      <c r="F25" s="9">
        <v>7233</v>
      </c>
      <c r="G25" s="9">
        <v>11281</v>
      </c>
      <c r="H25" s="9">
        <v>13107</v>
      </c>
      <c r="I25" s="8">
        <v>11280</v>
      </c>
      <c r="J25" s="10">
        <f>SUM(C25:I25)</f>
        <v>56266</v>
      </c>
      <c r="K25" s="14">
        <f>(J25-J24)/J24</f>
        <v>7.0070138603618021E-2</v>
      </c>
      <c r="L25" s="11" t="s">
        <v>41</v>
      </c>
      <c r="N25" s="9"/>
      <c r="O25" s="9"/>
    </row>
    <row r="26" spans="1:15" ht="14" x14ac:dyDescent="0.15">
      <c r="A26" s="7">
        <v>45824</v>
      </c>
      <c r="B26" s="7">
        <v>45830</v>
      </c>
      <c r="C26" s="9">
        <v>5699</v>
      </c>
      <c r="D26" s="9">
        <v>3610</v>
      </c>
      <c r="E26" s="9">
        <v>6183</v>
      </c>
      <c r="F26" s="9">
        <v>7379</v>
      </c>
      <c r="G26" s="9">
        <v>13357</v>
      </c>
      <c r="H26" s="9">
        <v>10515</v>
      </c>
      <c r="I26" s="9">
        <v>4292</v>
      </c>
      <c r="J26" s="10">
        <f>SUM(C26:I26)</f>
        <v>51035</v>
      </c>
      <c r="K26" s="14">
        <f>(J26-J25)/J25</f>
        <v>-9.2969111008424268E-2</v>
      </c>
      <c r="L26" s="11" t="s">
        <v>42</v>
      </c>
      <c r="N26" s="9"/>
      <c r="O26" s="9"/>
    </row>
    <row r="27" spans="1:15" ht="13" x14ac:dyDescent="0.15">
      <c r="A27" s="7">
        <v>45831</v>
      </c>
      <c r="B27" s="7">
        <v>45837</v>
      </c>
      <c r="C27" s="9">
        <v>7438</v>
      </c>
      <c r="D27" s="9">
        <v>4199</v>
      </c>
      <c r="E27" s="9">
        <v>5973</v>
      </c>
      <c r="F27" s="9">
        <v>6621</v>
      </c>
      <c r="G27" s="9">
        <v>13845</v>
      </c>
      <c r="H27" s="9">
        <v>10373</v>
      </c>
      <c r="I27" s="9">
        <v>6176</v>
      </c>
      <c r="J27" s="18">
        <f>SUM(C27:I27)</f>
        <v>54625</v>
      </c>
      <c r="K27" s="19">
        <f>(J27-J26)/J26</f>
        <v>7.0343881649848145E-2</v>
      </c>
      <c r="L27" s="11"/>
      <c r="N27" s="9"/>
      <c r="O27" s="9"/>
    </row>
    <row r="28" spans="1:15" ht="14" x14ac:dyDescent="0.15">
      <c r="A28" s="7">
        <v>45838</v>
      </c>
      <c r="B28" s="7">
        <v>45844</v>
      </c>
      <c r="C28" s="9">
        <v>6375</v>
      </c>
      <c r="D28" s="9">
        <v>5681.21</v>
      </c>
      <c r="E28" s="9">
        <v>6488.35</v>
      </c>
      <c r="F28" s="9">
        <v>8029</v>
      </c>
      <c r="G28" s="9">
        <v>0</v>
      </c>
      <c r="H28" s="9">
        <v>12305</v>
      </c>
      <c r="I28" s="9">
        <v>6869</v>
      </c>
      <c r="J28" s="18">
        <f>SUM(C28:I28)</f>
        <v>45747.56</v>
      </c>
      <c r="K28" s="19">
        <f>(J28-J27)/J27</f>
        <v>-0.16251606407322658</v>
      </c>
      <c r="L28" s="11" t="s">
        <v>43</v>
      </c>
      <c r="N28" s="9"/>
    </row>
    <row r="29" spans="1:15" ht="15.75" customHeight="1" x14ac:dyDescent="0.15">
      <c r="A29" s="7">
        <v>45845</v>
      </c>
      <c r="B29" s="7">
        <v>45851</v>
      </c>
      <c r="C29" s="9">
        <v>6764</v>
      </c>
      <c r="D29" s="9">
        <v>5309</v>
      </c>
      <c r="E29" s="9">
        <v>7278</v>
      </c>
      <c r="F29" s="9">
        <v>5915</v>
      </c>
      <c r="G29" s="9">
        <v>14449</v>
      </c>
      <c r="H29" s="9">
        <v>13112</v>
      </c>
      <c r="I29" s="9">
        <v>11000</v>
      </c>
      <c r="J29" s="20">
        <f>SUM(C29:I29)</f>
        <v>63827</v>
      </c>
      <c r="K29" s="19">
        <f>(J29-J28)/J28</f>
        <v>0.39520009373177506</v>
      </c>
      <c r="L29" s="11" t="s">
        <v>44</v>
      </c>
      <c r="N29" s="9"/>
    </row>
    <row r="30" spans="1:15" ht="14" x14ac:dyDescent="0.15">
      <c r="A30" s="7">
        <v>45852</v>
      </c>
      <c r="B30" s="7">
        <v>45858</v>
      </c>
      <c r="C30" s="9">
        <v>5011</v>
      </c>
      <c r="D30" s="9">
        <v>5817</v>
      </c>
      <c r="E30" s="9">
        <v>5543</v>
      </c>
      <c r="F30" s="9">
        <v>6711</v>
      </c>
      <c r="G30" s="8">
        <v>16873</v>
      </c>
      <c r="H30" s="9">
        <v>13415</v>
      </c>
      <c r="I30" s="9">
        <v>6479</v>
      </c>
      <c r="J30" s="18">
        <f>SUM(C30:I30)</f>
        <v>59849</v>
      </c>
      <c r="K30" s="19">
        <f>(J30-J29)/J29</f>
        <v>-6.2324721512839396E-2</v>
      </c>
      <c r="L30" s="11" t="s">
        <v>45</v>
      </c>
      <c r="N30" s="9"/>
    </row>
    <row r="31" spans="1:15" ht="15.75" customHeight="1" x14ac:dyDescent="0.15">
      <c r="A31" s="7">
        <v>45859</v>
      </c>
      <c r="B31" s="7">
        <v>45865</v>
      </c>
      <c r="C31" s="9">
        <v>6081</v>
      </c>
      <c r="D31" s="9">
        <v>5745</v>
      </c>
      <c r="E31" s="9">
        <v>7414</v>
      </c>
      <c r="F31" s="9">
        <v>6358</v>
      </c>
      <c r="G31" s="9">
        <v>13744</v>
      </c>
      <c r="H31" s="9">
        <v>14022</v>
      </c>
      <c r="I31" s="9">
        <v>6742</v>
      </c>
      <c r="J31" s="20">
        <f>SUM(C31:I31)</f>
        <v>60106</v>
      </c>
      <c r="K31" s="19">
        <f>(J31-J30)/J30</f>
        <v>4.2941402529699741E-3</v>
      </c>
      <c r="L31" s="11" t="s">
        <v>46</v>
      </c>
      <c r="N31" s="9"/>
    </row>
    <row r="32" spans="1:15" ht="15.75" customHeight="1" x14ac:dyDescent="0.15">
      <c r="A32" s="7">
        <v>45866</v>
      </c>
      <c r="B32" s="7">
        <v>45872</v>
      </c>
      <c r="C32" s="9">
        <v>3918</v>
      </c>
      <c r="D32" s="9">
        <v>7936</v>
      </c>
      <c r="E32" s="9">
        <v>6008</v>
      </c>
      <c r="F32" s="9">
        <v>9240</v>
      </c>
      <c r="G32" s="9">
        <v>11730</v>
      </c>
      <c r="H32" s="9">
        <v>15364</v>
      </c>
      <c r="I32" s="9">
        <v>10282</v>
      </c>
      <c r="J32" s="20">
        <f>SUM(C32:I32)</f>
        <v>64478</v>
      </c>
      <c r="K32" s="19">
        <f>(J32-J31)/J31</f>
        <v>7.2738162579442989E-2</v>
      </c>
      <c r="L32" s="11" t="s">
        <v>47</v>
      </c>
    </row>
    <row r="33" spans="1:12" ht="15.75" customHeight="1" x14ac:dyDescent="0.15">
      <c r="A33" s="7">
        <v>45873</v>
      </c>
      <c r="B33" s="7">
        <v>45879</v>
      </c>
      <c r="C33" s="9">
        <v>6073</v>
      </c>
      <c r="D33" s="9">
        <v>5708</v>
      </c>
      <c r="E33" s="9">
        <v>6711</v>
      </c>
      <c r="F33" s="9">
        <v>8123</v>
      </c>
      <c r="G33" s="9">
        <v>13972</v>
      </c>
      <c r="H33" s="9">
        <v>15070</v>
      </c>
      <c r="I33" s="9">
        <v>8652</v>
      </c>
      <c r="J33" s="20">
        <f>SUM(C33:I33)</f>
        <v>64309</v>
      </c>
      <c r="K33" s="19">
        <f>(J33-J32)/J32</f>
        <v>-2.6210490399826299E-3</v>
      </c>
      <c r="L33" s="11"/>
    </row>
    <row r="34" spans="1:12" ht="13" x14ac:dyDescent="0.15">
      <c r="A34" s="7">
        <v>45880</v>
      </c>
      <c r="B34" s="7">
        <v>45886</v>
      </c>
      <c r="C34" s="9">
        <v>5197</v>
      </c>
      <c r="D34" s="9">
        <v>5086</v>
      </c>
      <c r="E34" s="9">
        <v>6911</v>
      </c>
      <c r="F34" s="9">
        <v>6886</v>
      </c>
      <c r="G34" s="9">
        <v>13693</v>
      </c>
      <c r="H34" s="9">
        <v>14804</v>
      </c>
      <c r="I34" s="9">
        <v>7394</v>
      </c>
      <c r="J34" s="18">
        <f>SUM(C34:I34)</f>
        <v>59971</v>
      </c>
      <c r="K34" s="19">
        <f>(J34-J33)/J33</f>
        <v>-6.7455566094947836E-2</v>
      </c>
      <c r="L34" s="11"/>
    </row>
    <row r="35" spans="1:12" ht="14" x14ac:dyDescent="0.15">
      <c r="A35" s="7">
        <v>45887</v>
      </c>
      <c r="B35" s="7">
        <v>45893</v>
      </c>
      <c r="C35" s="9">
        <v>3575</v>
      </c>
      <c r="D35" s="9">
        <v>4779</v>
      </c>
      <c r="E35" s="9">
        <v>5661</v>
      </c>
      <c r="F35" s="9">
        <v>6342</v>
      </c>
      <c r="G35" s="9">
        <v>15975</v>
      </c>
      <c r="H35" s="8">
        <v>16131</v>
      </c>
      <c r="I35" s="9">
        <v>9120.5</v>
      </c>
      <c r="J35" s="20">
        <f>SUM(C35:I35)</f>
        <v>61583.5</v>
      </c>
      <c r="K35" s="19">
        <f>(J35-J34)/J34</f>
        <v>2.6887995864667922E-2</v>
      </c>
      <c r="L35" s="11" t="s">
        <v>48</v>
      </c>
    </row>
    <row r="36" spans="1:12" ht="28" x14ac:dyDescent="0.15">
      <c r="A36" s="7">
        <v>45894</v>
      </c>
      <c r="B36" s="7">
        <v>45900</v>
      </c>
      <c r="C36" s="9">
        <v>2698</v>
      </c>
      <c r="D36" s="9">
        <v>2947</v>
      </c>
      <c r="E36" s="9">
        <v>6142</v>
      </c>
      <c r="F36" s="9">
        <v>4241</v>
      </c>
      <c r="G36" s="21">
        <v>8497</v>
      </c>
      <c r="H36" s="9">
        <v>14041</v>
      </c>
      <c r="I36" s="8">
        <v>13380</v>
      </c>
      <c r="J36" s="18">
        <f>SUM(C36:I36)</f>
        <v>51946</v>
      </c>
      <c r="K36" s="19">
        <f>(J36-J35)/J35</f>
        <v>-0.1564948403387271</v>
      </c>
      <c r="L36" s="11" t="s">
        <v>49</v>
      </c>
    </row>
    <row r="37" spans="1:12" ht="14" x14ac:dyDescent="0.15">
      <c r="A37" s="7">
        <v>45901</v>
      </c>
      <c r="B37" s="7">
        <v>45907</v>
      </c>
      <c r="C37" s="9">
        <v>6449</v>
      </c>
      <c r="D37" s="9">
        <v>3456</v>
      </c>
      <c r="E37" s="9">
        <v>3635</v>
      </c>
      <c r="F37" s="9">
        <v>5991</v>
      </c>
      <c r="G37" s="9">
        <v>10842</v>
      </c>
      <c r="H37" s="9">
        <v>12760</v>
      </c>
      <c r="I37" s="9">
        <v>6012</v>
      </c>
      <c r="J37" s="18">
        <f>SUM(C37:I37)</f>
        <v>49145</v>
      </c>
      <c r="K37" s="19">
        <f>(J37-J36)/J36</f>
        <v>-5.3921379894505836E-2</v>
      </c>
      <c r="L37" s="11" t="s">
        <v>50</v>
      </c>
    </row>
    <row r="38" spans="1:12" ht="14" x14ac:dyDescent="0.15">
      <c r="A38" s="7">
        <v>45908</v>
      </c>
      <c r="B38" s="7">
        <v>45914</v>
      </c>
      <c r="C38" s="9">
        <v>2661</v>
      </c>
      <c r="D38" s="9">
        <v>2563.35</v>
      </c>
      <c r="E38" s="9">
        <v>5835.75</v>
      </c>
      <c r="F38" s="9">
        <v>5231</v>
      </c>
      <c r="G38" s="9">
        <v>12468</v>
      </c>
      <c r="H38" s="8">
        <v>15258</v>
      </c>
      <c r="I38" s="9">
        <v>5234.8</v>
      </c>
      <c r="J38" s="18">
        <f>SUM(C38:I38)</f>
        <v>49251.9</v>
      </c>
      <c r="K38" s="19">
        <f>(J38-J37)/J37</f>
        <v>2.1751958490182411E-3</v>
      </c>
      <c r="L38" s="11" t="s">
        <v>51</v>
      </c>
    </row>
    <row r="39" spans="1:12" ht="14" x14ac:dyDescent="0.15">
      <c r="A39" s="7">
        <v>45915</v>
      </c>
      <c r="B39" s="7">
        <v>45921</v>
      </c>
      <c r="C39" s="9">
        <v>3043</v>
      </c>
      <c r="D39" s="9">
        <v>3816</v>
      </c>
      <c r="E39" s="9">
        <v>4941</v>
      </c>
      <c r="F39" s="9">
        <v>4566</v>
      </c>
      <c r="G39" s="9">
        <v>13164</v>
      </c>
      <c r="H39" s="9">
        <v>11857</v>
      </c>
      <c r="I39" s="9">
        <v>4925</v>
      </c>
      <c r="J39" s="18">
        <f>SUM(C39:I39)</f>
        <v>46312</v>
      </c>
      <c r="K39" s="19">
        <f>(J39-J38)/J38</f>
        <v>-5.9691098211439586E-2</v>
      </c>
      <c r="L39" s="11" t="s">
        <v>52</v>
      </c>
    </row>
    <row r="40" spans="1:12" ht="14" x14ac:dyDescent="0.15">
      <c r="A40" s="7">
        <v>45922</v>
      </c>
      <c r="B40" s="7">
        <v>45928</v>
      </c>
      <c r="C40" s="9">
        <v>3098</v>
      </c>
      <c r="D40" s="9">
        <v>3673</v>
      </c>
      <c r="E40" s="9">
        <v>5523</v>
      </c>
      <c r="F40" s="9">
        <v>4672</v>
      </c>
      <c r="G40" s="9">
        <v>14017</v>
      </c>
      <c r="H40" s="9">
        <v>15065</v>
      </c>
      <c r="I40" s="9">
        <v>6656</v>
      </c>
      <c r="J40" s="18">
        <f>SUM(C40:I40)</f>
        <v>52704</v>
      </c>
      <c r="K40" s="19">
        <f>(J40-J39)/J39</f>
        <v>0.13802038348592158</v>
      </c>
      <c r="L40" s="11" t="s">
        <v>53</v>
      </c>
    </row>
    <row r="41" spans="1:12" ht="14" x14ac:dyDescent="0.15">
      <c r="A41" s="7">
        <v>45929</v>
      </c>
      <c r="B41" s="7">
        <v>45935</v>
      </c>
      <c r="C41" s="9">
        <v>5288</v>
      </c>
      <c r="D41" s="9">
        <v>4115</v>
      </c>
      <c r="E41" s="9">
        <v>4060</v>
      </c>
      <c r="F41" s="9">
        <v>4905.3500000000004</v>
      </c>
      <c r="G41" s="9">
        <v>12463</v>
      </c>
      <c r="H41" s="9">
        <v>14157</v>
      </c>
      <c r="I41" s="9">
        <v>6136</v>
      </c>
      <c r="J41" s="18">
        <f>SUM(C41:I41)</f>
        <v>51124.35</v>
      </c>
      <c r="K41" s="19">
        <f>(J41-J40)/J40</f>
        <v>-2.9972108378870703E-2</v>
      </c>
      <c r="L41" s="11" t="s">
        <v>54</v>
      </c>
    </row>
    <row r="42" spans="1:12" ht="14" x14ac:dyDescent="0.15">
      <c r="A42" s="7">
        <v>45936</v>
      </c>
      <c r="B42" s="7">
        <v>45942</v>
      </c>
      <c r="C42" s="9">
        <v>3590</v>
      </c>
      <c r="D42" s="9">
        <v>3100</v>
      </c>
      <c r="E42" s="9">
        <v>4487</v>
      </c>
      <c r="F42" s="9">
        <v>4065</v>
      </c>
      <c r="G42" s="9">
        <v>10992</v>
      </c>
      <c r="H42" s="9">
        <v>11743</v>
      </c>
      <c r="I42" s="9">
        <v>8789</v>
      </c>
      <c r="J42" s="18">
        <f>SUM(C42:I42)</f>
        <v>46766</v>
      </c>
      <c r="K42" s="19">
        <f>(J42-J41)/J41</f>
        <v>-8.5249983618373604E-2</v>
      </c>
      <c r="L42" s="11" t="s">
        <v>55</v>
      </c>
    </row>
    <row r="43" spans="1:12" ht="14" x14ac:dyDescent="0.15">
      <c r="A43" s="7">
        <v>45943</v>
      </c>
      <c r="B43" s="7">
        <v>45949</v>
      </c>
      <c r="C43" s="9">
        <v>3266</v>
      </c>
      <c r="D43" s="9">
        <v>2345</v>
      </c>
      <c r="E43" s="9">
        <v>2635</v>
      </c>
      <c r="F43" s="8">
        <v>7266</v>
      </c>
      <c r="G43" s="9">
        <v>11749</v>
      </c>
      <c r="H43" s="9">
        <v>13520</v>
      </c>
      <c r="I43" s="9">
        <v>4459</v>
      </c>
      <c r="J43" s="18">
        <f>SUM(C43:I43)</f>
        <v>45240</v>
      </c>
      <c r="K43" s="19">
        <f>(J43-J42)/J42</f>
        <v>-3.2630543557285209E-2</v>
      </c>
      <c r="L43" s="11" t="s">
        <v>56</v>
      </c>
    </row>
    <row r="44" spans="1:12" ht="14" x14ac:dyDescent="0.15">
      <c r="A44" s="7">
        <v>45950</v>
      </c>
      <c r="B44" s="7">
        <v>45956</v>
      </c>
      <c r="C44" s="9">
        <v>4119</v>
      </c>
      <c r="D44" s="9">
        <v>1931</v>
      </c>
      <c r="E44" s="9">
        <v>3068</v>
      </c>
      <c r="F44" s="9">
        <v>4409</v>
      </c>
      <c r="G44" s="9">
        <v>11477</v>
      </c>
      <c r="H44" s="9">
        <v>13747</v>
      </c>
      <c r="I44" s="9">
        <v>5533</v>
      </c>
      <c r="J44" s="18">
        <f>SUM(C44:I44)</f>
        <v>44284</v>
      </c>
      <c r="K44" s="19">
        <f>(J44-J43)/J43</f>
        <v>-2.1131741821396995E-2</v>
      </c>
      <c r="L44" s="11" t="s">
        <v>57</v>
      </c>
    </row>
    <row r="45" spans="1:12" ht="14" x14ac:dyDescent="0.15">
      <c r="A45" s="7">
        <v>45957</v>
      </c>
      <c r="B45" s="7">
        <v>45963</v>
      </c>
      <c r="C45" s="9">
        <v>3461</v>
      </c>
      <c r="D45" s="9">
        <v>2532</v>
      </c>
      <c r="E45" s="9">
        <v>3353</v>
      </c>
      <c r="F45" s="9">
        <v>3623</v>
      </c>
      <c r="G45" s="21">
        <v>5733</v>
      </c>
      <c r="H45" s="9">
        <v>12342</v>
      </c>
      <c r="I45" s="9">
        <v>4005</v>
      </c>
      <c r="J45" s="18">
        <f>SUM(C45:I45)</f>
        <v>35049</v>
      </c>
      <c r="K45" s="19">
        <f>(J45-J44)/J44</f>
        <v>-0.20854033059344232</v>
      </c>
      <c r="L45" s="11" t="s">
        <v>58</v>
      </c>
    </row>
    <row r="46" spans="1:12" ht="14" x14ac:dyDescent="0.15">
      <c r="A46" s="7">
        <v>45964</v>
      </c>
      <c r="B46" s="7">
        <v>45970</v>
      </c>
      <c r="C46" s="9">
        <v>2245</v>
      </c>
      <c r="D46" s="9">
        <v>2561</v>
      </c>
      <c r="E46" s="21">
        <v>1389</v>
      </c>
      <c r="F46" s="9">
        <v>3618</v>
      </c>
      <c r="G46" s="9">
        <v>12908</v>
      </c>
      <c r="H46" s="9">
        <v>12546</v>
      </c>
      <c r="I46" s="9">
        <v>4186</v>
      </c>
      <c r="J46" s="18">
        <f>SUM(C46:I46)</f>
        <v>39453</v>
      </c>
      <c r="K46" s="19">
        <f>(J46-J45)/J45</f>
        <v>0.12565265770778053</v>
      </c>
      <c r="L46" s="11" t="s">
        <v>59</v>
      </c>
    </row>
    <row r="47" spans="1:12" ht="14" x14ac:dyDescent="0.15">
      <c r="A47" s="7">
        <v>45971</v>
      </c>
      <c r="B47" s="7">
        <v>45977</v>
      </c>
      <c r="C47" s="9">
        <v>2601</v>
      </c>
      <c r="D47" s="9">
        <v>3364</v>
      </c>
      <c r="E47" s="9">
        <v>3321</v>
      </c>
      <c r="F47" s="9">
        <v>5952</v>
      </c>
      <c r="G47" s="9">
        <v>11418</v>
      </c>
      <c r="H47" s="9">
        <v>13674</v>
      </c>
      <c r="I47" s="9">
        <v>4308</v>
      </c>
      <c r="J47" s="18">
        <f>SUM(C47:I47)</f>
        <v>44638</v>
      </c>
      <c r="K47" s="19">
        <f>(J47-J46)/J46</f>
        <v>0.13142219856538159</v>
      </c>
      <c r="L47" s="11" t="s">
        <v>60</v>
      </c>
    </row>
    <row r="48" spans="1:12" ht="14" x14ac:dyDescent="0.15">
      <c r="A48" s="7">
        <v>45978</v>
      </c>
      <c r="B48" s="7">
        <v>45984</v>
      </c>
      <c r="C48" s="9">
        <v>2536</v>
      </c>
      <c r="D48" s="9">
        <v>1741</v>
      </c>
      <c r="E48" s="9">
        <v>2386</v>
      </c>
      <c r="F48" s="9">
        <v>5095</v>
      </c>
      <c r="G48" s="9">
        <v>12000</v>
      </c>
      <c r="H48" s="21">
        <v>9924</v>
      </c>
      <c r="I48" s="9">
        <v>5784</v>
      </c>
      <c r="J48" s="18">
        <f>SUM(C48:I48)</f>
        <v>39466</v>
      </c>
      <c r="K48" s="19">
        <f>(J48-J47)/J47</f>
        <v>-0.11586540615618979</v>
      </c>
      <c r="L48" s="11" t="s">
        <v>61</v>
      </c>
    </row>
    <row r="49" spans="1:12" ht="14" x14ac:dyDescent="0.15">
      <c r="A49" s="7">
        <v>45985</v>
      </c>
      <c r="B49" s="7">
        <v>45991</v>
      </c>
      <c r="C49" s="9">
        <v>6811</v>
      </c>
      <c r="D49" s="9">
        <v>3222</v>
      </c>
      <c r="E49" s="9">
        <v>6388</v>
      </c>
      <c r="F49" s="9">
        <v>0</v>
      </c>
      <c r="G49" s="21">
        <v>9901</v>
      </c>
      <c r="H49" s="21">
        <v>5990</v>
      </c>
      <c r="I49" s="9">
        <v>4659</v>
      </c>
      <c r="J49" s="18">
        <f>SUM(C49:I49)</f>
        <v>36971</v>
      </c>
      <c r="K49" s="19">
        <f>(J49-J48)/J48</f>
        <v>-6.3218973293467789E-2</v>
      </c>
      <c r="L49" s="11" t="s">
        <v>62</v>
      </c>
    </row>
    <row r="50" spans="1:12" ht="14" x14ac:dyDescent="0.15">
      <c r="A50" s="7">
        <v>45992</v>
      </c>
      <c r="B50" s="7">
        <v>45998</v>
      </c>
      <c r="C50" s="9">
        <v>1686</v>
      </c>
      <c r="D50" s="9">
        <v>1127</v>
      </c>
      <c r="E50" s="9">
        <v>2939</v>
      </c>
      <c r="F50" s="9">
        <v>4035</v>
      </c>
      <c r="G50" s="9">
        <v>10449</v>
      </c>
      <c r="H50" s="9">
        <v>9141</v>
      </c>
      <c r="I50" s="9">
        <v>2539</v>
      </c>
      <c r="J50" s="18">
        <f>SUM(C50:I50)</f>
        <v>31916</v>
      </c>
      <c r="K50" s="19">
        <f>(J50-J49)/J49</f>
        <v>-0.13672878742798408</v>
      </c>
      <c r="L50" s="11" t="s">
        <v>63</v>
      </c>
    </row>
    <row r="51" spans="1:12" ht="14" x14ac:dyDescent="0.15">
      <c r="A51" s="7">
        <v>45999</v>
      </c>
      <c r="B51" s="7">
        <v>46005</v>
      </c>
      <c r="C51" s="9">
        <v>2088</v>
      </c>
      <c r="D51" s="9">
        <v>1468</v>
      </c>
      <c r="E51" s="9">
        <v>3216</v>
      </c>
      <c r="F51" s="9">
        <v>4556</v>
      </c>
      <c r="G51" s="8">
        <v>12447</v>
      </c>
      <c r="H51" s="9">
        <v>9706</v>
      </c>
      <c r="I51" s="9">
        <v>3866</v>
      </c>
      <c r="J51" s="18">
        <f>SUM(C51:I51)</f>
        <v>37347</v>
      </c>
      <c r="K51" s="19">
        <f>(J51-J50)/J50</f>
        <v>0.17016543426494549</v>
      </c>
      <c r="L51" s="11" t="s">
        <v>64</v>
      </c>
    </row>
    <row r="52" spans="1:12" ht="14" x14ac:dyDescent="0.15">
      <c r="A52" s="7">
        <v>46006</v>
      </c>
      <c r="B52" s="7">
        <v>46012</v>
      </c>
      <c r="C52" s="9">
        <v>3103</v>
      </c>
      <c r="D52" s="9">
        <v>4584</v>
      </c>
      <c r="E52" s="9">
        <v>3267</v>
      </c>
      <c r="F52" s="9">
        <v>5452</v>
      </c>
      <c r="G52" s="9">
        <v>12374</v>
      </c>
      <c r="H52" s="9">
        <v>9168</v>
      </c>
      <c r="I52" s="9">
        <v>6634</v>
      </c>
      <c r="J52" s="18">
        <f>SUM(C52:I52)</f>
        <v>44582</v>
      </c>
      <c r="K52" s="19">
        <f>(J52-J51)/J51</f>
        <v>0.19372372613596808</v>
      </c>
      <c r="L52" s="11" t="s">
        <v>65</v>
      </c>
    </row>
    <row r="53" spans="1:12" ht="28" x14ac:dyDescent="0.15">
      <c r="A53" s="7">
        <v>46013</v>
      </c>
      <c r="B53" s="7">
        <v>46019</v>
      </c>
      <c r="C53" s="8">
        <v>7771</v>
      </c>
      <c r="D53" s="8">
        <v>8775</v>
      </c>
      <c r="E53" s="9">
        <v>5742</v>
      </c>
      <c r="F53" s="9">
        <v>0</v>
      </c>
      <c r="G53" s="9">
        <v>10907</v>
      </c>
      <c r="H53" s="8">
        <v>12834</v>
      </c>
      <c r="I53" s="9">
        <v>4830</v>
      </c>
      <c r="J53" s="18">
        <f>SUM(C53:I53)</f>
        <v>50859</v>
      </c>
      <c r="K53" s="19">
        <f>(J53-J52)/J52</f>
        <v>0.14079673410793594</v>
      </c>
      <c r="L53" s="11" t="s">
        <v>66</v>
      </c>
    </row>
    <row r="54" spans="1:12" ht="14" x14ac:dyDescent="0.15">
      <c r="A54" s="7">
        <v>46020</v>
      </c>
      <c r="B54" s="7">
        <v>46026</v>
      </c>
      <c r="C54" s="9">
        <v>6334</v>
      </c>
      <c r="D54" s="9">
        <v>5584</v>
      </c>
      <c r="E54" s="8">
        <v>7380</v>
      </c>
      <c r="F54" s="9">
        <v>6719</v>
      </c>
      <c r="G54" s="8">
        <v>13856</v>
      </c>
      <c r="H54" s="8">
        <v>13933</v>
      </c>
      <c r="I54" s="9">
        <v>4296</v>
      </c>
      <c r="J54" s="18">
        <f>SUM(C54:I54)</f>
        <v>58102</v>
      </c>
      <c r="K54" s="19">
        <f>(J54-J53)/J53</f>
        <v>0.14241333883875026</v>
      </c>
      <c r="L54" s="11" t="s">
        <v>67</v>
      </c>
    </row>
    <row r="55" spans="1:12" ht="14" x14ac:dyDescent="0.15">
      <c r="A55" s="7">
        <v>46027</v>
      </c>
      <c r="B55" s="7">
        <v>46033</v>
      </c>
      <c r="C55" s="9">
        <v>2984</v>
      </c>
      <c r="D55" s="9">
        <v>0</v>
      </c>
      <c r="E55" s="9">
        <v>3565</v>
      </c>
      <c r="F55" s="9">
        <v>4486</v>
      </c>
      <c r="G55" s="9">
        <v>9995</v>
      </c>
      <c r="H55" s="21">
        <v>8115</v>
      </c>
      <c r="I55" s="9">
        <v>6482</v>
      </c>
      <c r="J55" s="18">
        <f>SUM(C55:I55)</f>
        <v>35627</v>
      </c>
      <c r="K55" s="19">
        <f>(J55-J54)/J54</f>
        <v>-0.38681973081821625</v>
      </c>
      <c r="L55" s="11" t="s">
        <v>68</v>
      </c>
    </row>
    <row r="56" spans="1:12" ht="14" x14ac:dyDescent="0.15">
      <c r="A56" s="22">
        <v>46034</v>
      </c>
      <c r="B56" s="22">
        <v>46040</v>
      </c>
      <c r="C56" s="9">
        <v>2707</v>
      </c>
      <c r="D56" s="9">
        <v>2057</v>
      </c>
      <c r="E56" s="9">
        <v>2581</v>
      </c>
      <c r="F56" s="9">
        <v>4162</v>
      </c>
      <c r="G56" s="9">
        <v>12223</v>
      </c>
      <c r="H56" s="8">
        <v>13020</v>
      </c>
      <c r="I56" s="9">
        <v>2109</v>
      </c>
      <c r="J56" s="18">
        <f>SUM(C56:I56)</f>
        <v>38859</v>
      </c>
      <c r="K56" s="19">
        <f>(J56-J55)/J55</f>
        <v>9.071771409324389E-2</v>
      </c>
      <c r="L56" s="11" t="s">
        <v>69</v>
      </c>
    </row>
    <row r="57" spans="1:12" ht="14" x14ac:dyDescent="0.15">
      <c r="A57" s="22">
        <v>46041</v>
      </c>
      <c r="B57" s="22">
        <v>46047</v>
      </c>
      <c r="C57" s="9">
        <v>3418</v>
      </c>
      <c r="D57" s="9">
        <v>2690</v>
      </c>
      <c r="E57" s="9">
        <v>2931</v>
      </c>
      <c r="F57" s="9">
        <v>2701</v>
      </c>
      <c r="G57" s="9">
        <v>8147</v>
      </c>
      <c r="H57" s="9">
        <v>12897</v>
      </c>
      <c r="I57" s="9">
        <v>3228</v>
      </c>
      <c r="J57" s="18">
        <f>SUM(C57:I57)</f>
        <v>36012</v>
      </c>
      <c r="K57" s="19">
        <f>(J57-J56)/J56</f>
        <v>-7.3264880722612516E-2</v>
      </c>
      <c r="L57" s="11" t="s">
        <v>70</v>
      </c>
    </row>
    <row r="58" spans="1:12" ht="14" x14ac:dyDescent="0.15">
      <c r="A58" s="22">
        <v>46048</v>
      </c>
      <c r="B58" s="22">
        <v>46054</v>
      </c>
      <c r="C58" s="9">
        <v>2536</v>
      </c>
      <c r="D58" s="9">
        <v>3375</v>
      </c>
      <c r="E58" s="9">
        <v>4845</v>
      </c>
      <c r="F58" s="9">
        <v>4988</v>
      </c>
      <c r="G58" s="9">
        <v>10749</v>
      </c>
      <c r="H58" s="9">
        <v>12946</v>
      </c>
      <c r="I58" s="8">
        <v>5703</v>
      </c>
      <c r="J58" s="18">
        <f>SUM(C58:I58)</f>
        <v>45142</v>
      </c>
      <c r="K58" s="19">
        <f>(J58-J57)/J57</f>
        <v>0.25352660224369655</v>
      </c>
      <c r="L58" s="11" t="s">
        <v>71</v>
      </c>
    </row>
    <row r="59" spans="1:12" ht="14" x14ac:dyDescent="0.15">
      <c r="A59" s="22">
        <v>46055</v>
      </c>
      <c r="B59" s="22">
        <v>46061</v>
      </c>
      <c r="C59" s="9">
        <v>2786</v>
      </c>
      <c r="D59" s="9">
        <v>1971</v>
      </c>
      <c r="E59" s="9">
        <v>3546</v>
      </c>
      <c r="F59" s="9">
        <v>3997</v>
      </c>
      <c r="G59" s="9">
        <v>11292</v>
      </c>
      <c r="H59" s="9">
        <v>12032</v>
      </c>
      <c r="I59" s="9">
        <v>0</v>
      </c>
      <c r="J59" s="18">
        <f>SUM(C59:I59)</f>
        <v>35624</v>
      </c>
      <c r="K59" s="19">
        <f>(J59-J58)/J58</f>
        <v>-0.21084577555270037</v>
      </c>
      <c r="L59" s="11" t="s">
        <v>72</v>
      </c>
    </row>
    <row r="60" spans="1:12" ht="14" x14ac:dyDescent="0.15">
      <c r="A60" s="22">
        <v>46062</v>
      </c>
      <c r="B60" s="22">
        <v>46068</v>
      </c>
      <c r="C60" s="9">
        <v>2165</v>
      </c>
      <c r="D60" s="9">
        <v>2396</v>
      </c>
      <c r="E60" s="9">
        <v>3581</v>
      </c>
      <c r="F60" s="9">
        <v>5094</v>
      </c>
      <c r="G60" s="8">
        <v>15181</v>
      </c>
      <c r="H60" s="8">
        <v>25266</v>
      </c>
      <c r="I60" s="8">
        <v>10109</v>
      </c>
      <c r="J60" s="20">
        <f>SUM(C60:I60)</f>
        <v>63792</v>
      </c>
      <c r="K60" s="19">
        <f>(J60-J59)/J59</f>
        <v>0.79070289692342244</v>
      </c>
      <c r="L60" s="11" t="s">
        <v>73</v>
      </c>
    </row>
    <row r="61" spans="1:12" ht="28" x14ac:dyDescent="0.15">
      <c r="A61" s="22">
        <v>46069</v>
      </c>
      <c r="B61" s="22">
        <v>46075</v>
      </c>
      <c r="C61" s="9">
        <v>2485</v>
      </c>
      <c r="D61" s="9">
        <v>1903</v>
      </c>
      <c r="E61" s="9">
        <v>2905</v>
      </c>
      <c r="F61" s="9">
        <v>2339</v>
      </c>
      <c r="G61" s="9">
        <v>12915</v>
      </c>
      <c r="H61" s="9">
        <v>12746</v>
      </c>
      <c r="I61" s="9">
        <v>4933</v>
      </c>
      <c r="J61" s="18">
        <f>SUM(C61:I61)</f>
        <v>40226</v>
      </c>
      <c r="K61" s="19">
        <f>(J61-J60)/J60</f>
        <v>-0.36941936292952093</v>
      </c>
      <c r="L61" s="11" t="s">
        <v>74</v>
      </c>
    </row>
    <row r="62" spans="1:12" ht="14" x14ac:dyDescent="0.15">
      <c r="A62" s="22">
        <v>46076</v>
      </c>
      <c r="B62" s="22">
        <v>46082</v>
      </c>
      <c r="C62" s="9">
        <v>2003</v>
      </c>
      <c r="D62" s="9">
        <v>2643</v>
      </c>
      <c r="E62" s="9">
        <v>2860</v>
      </c>
      <c r="F62" s="9">
        <v>4115</v>
      </c>
      <c r="G62" s="9">
        <v>11254</v>
      </c>
      <c r="H62" s="9">
        <v>12845</v>
      </c>
      <c r="I62" s="8">
        <v>7102</v>
      </c>
      <c r="J62" s="18">
        <f>SUM(C62:I62)</f>
        <v>42822</v>
      </c>
      <c r="K62" s="19">
        <f>(J62-J61)/J61</f>
        <v>6.4535375130512607E-2</v>
      </c>
      <c r="L62" s="11" t="s">
        <v>75</v>
      </c>
    </row>
    <row r="63" spans="1:12" ht="14" x14ac:dyDescent="0.15">
      <c r="A63" s="22">
        <v>46083</v>
      </c>
      <c r="B63" s="22">
        <v>46089</v>
      </c>
      <c r="C63" s="9">
        <v>3598</v>
      </c>
      <c r="D63" s="9">
        <v>3333</v>
      </c>
      <c r="E63" s="9">
        <v>3266</v>
      </c>
      <c r="F63" s="9">
        <v>5157</v>
      </c>
      <c r="G63" s="9">
        <v>10736</v>
      </c>
      <c r="H63" s="9">
        <v>12238</v>
      </c>
      <c r="I63" s="9">
        <v>6953</v>
      </c>
      <c r="J63" s="18">
        <f>SUM(C63:I63)</f>
        <v>45281</v>
      </c>
      <c r="K63" s="19">
        <f>(J63-J62)/J62</f>
        <v>5.742375414506562E-2</v>
      </c>
      <c r="L63" s="11" t="s">
        <v>76</v>
      </c>
    </row>
    <row r="64" spans="1:12" ht="14" x14ac:dyDescent="0.15">
      <c r="A64" s="22">
        <v>46090</v>
      </c>
      <c r="B64" s="22">
        <v>46096</v>
      </c>
      <c r="C64" s="9">
        <v>3719</v>
      </c>
      <c r="D64" s="9">
        <v>1780</v>
      </c>
      <c r="E64" s="9">
        <v>3051</v>
      </c>
      <c r="F64" s="9">
        <v>4918</v>
      </c>
      <c r="G64" s="9">
        <v>11644</v>
      </c>
      <c r="H64" s="9"/>
      <c r="I64" s="9"/>
      <c r="J64" s="18">
        <f>SUM(C64:I64)</f>
        <v>25112</v>
      </c>
      <c r="K64" s="19">
        <f>(J64-J63)/J63</f>
        <v>-0.44541860824628432</v>
      </c>
      <c r="L64" s="11" t="s">
        <v>77</v>
      </c>
    </row>
    <row r="65" spans="1:12" ht="13" x14ac:dyDescent="0.15">
      <c r="A65" s="22">
        <f t="shared" ref="A65:B65" si="15">A64+7</f>
        <v>46097</v>
      </c>
      <c r="B65" s="22">
        <f t="shared" si="15"/>
        <v>46103</v>
      </c>
      <c r="C65" s="9"/>
      <c r="D65" s="9"/>
      <c r="E65" s="9"/>
      <c r="F65" s="9"/>
      <c r="G65" s="9"/>
      <c r="H65" s="9"/>
      <c r="I65" s="9"/>
      <c r="J65" s="18">
        <f>SUM(C65:I65)</f>
        <v>0</v>
      </c>
      <c r="K65" s="19">
        <f>(J65-J64)/J64</f>
        <v>-1</v>
      </c>
      <c r="L65" s="11"/>
    </row>
    <row r="66" spans="1:12" ht="13" x14ac:dyDescent="0.15">
      <c r="A66" s="22">
        <f t="shared" ref="A66:B66" si="16">A65+7</f>
        <v>46104</v>
      </c>
      <c r="B66" s="22">
        <f t="shared" si="16"/>
        <v>46110</v>
      </c>
      <c r="C66" s="9"/>
      <c r="D66" s="9"/>
      <c r="E66" s="9"/>
      <c r="F66" s="9"/>
      <c r="G66" s="9"/>
      <c r="H66" s="9"/>
      <c r="I66" s="9"/>
      <c r="J66" s="18">
        <f>SUM(C66:I66)</f>
        <v>0</v>
      </c>
      <c r="K66" s="19" t="e">
        <f>(J66-J65)/J65</f>
        <v>#DIV/0!</v>
      </c>
      <c r="L66" s="11"/>
    </row>
    <row r="67" spans="1:12" ht="13" x14ac:dyDescent="0.15">
      <c r="A67" s="22">
        <f t="shared" ref="A67:B67" si="17">A66+7</f>
        <v>46111</v>
      </c>
      <c r="B67" s="22">
        <f t="shared" si="17"/>
        <v>46117</v>
      </c>
      <c r="J67" s="18">
        <f>SUM(C67:I67)</f>
        <v>0</v>
      </c>
      <c r="K67" s="19" t="e">
        <f>(J67-J66)/J66</f>
        <v>#DIV/0!</v>
      </c>
      <c r="L67" s="11"/>
    </row>
    <row r="68" spans="1:12" ht="13" x14ac:dyDescent="0.15">
      <c r="A68" s="22">
        <f t="shared" ref="A68:B68" si="18">A67+7</f>
        <v>46118</v>
      </c>
      <c r="B68" s="22">
        <f t="shared" si="18"/>
        <v>46124</v>
      </c>
      <c r="J68" s="18">
        <f>SUM(C68:I68)</f>
        <v>0</v>
      </c>
      <c r="K68" s="19" t="e">
        <f>(J68-J67)/J67</f>
        <v>#DIV/0!</v>
      </c>
      <c r="L68" s="11"/>
    </row>
    <row r="69" spans="1:12" ht="13" x14ac:dyDescent="0.15">
      <c r="A69" s="22">
        <f t="shared" ref="A69:B69" si="19">A68+7</f>
        <v>46125</v>
      </c>
      <c r="B69" s="22">
        <f t="shared" si="19"/>
        <v>46131</v>
      </c>
      <c r="J69" s="18">
        <f>SUM(C69:I69)</f>
        <v>0</v>
      </c>
      <c r="K69" s="19" t="e">
        <f>(J69-J68)/J68</f>
        <v>#DIV/0!</v>
      </c>
      <c r="L69" s="11"/>
    </row>
    <row r="70" spans="1:12" ht="13" x14ac:dyDescent="0.15">
      <c r="A70" s="22">
        <f t="shared" ref="A70:B70" si="20">A69+7</f>
        <v>46132</v>
      </c>
      <c r="B70" s="22">
        <f t="shared" si="20"/>
        <v>46138</v>
      </c>
      <c r="J70" s="18">
        <f>SUM(C70:I70)</f>
        <v>0</v>
      </c>
      <c r="K70" s="19" t="e">
        <f>(J70-J69)/J69</f>
        <v>#DIV/0!</v>
      </c>
      <c r="L70" s="11"/>
    </row>
    <row r="71" spans="1:12" ht="13" x14ac:dyDescent="0.15">
      <c r="A71" s="22">
        <f t="shared" ref="A71:B71" si="21">A70+7</f>
        <v>46139</v>
      </c>
      <c r="B71" s="22">
        <f t="shared" si="21"/>
        <v>46145</v>
      </c>
      <c r="J71" s="18">
        <f>SUM(C71:I71)</f>
        <v>0</v>
      </c>
      <c r="K71" s="19" t="e">
        <f>(J71-J70)/J70</f>
        <v>#DIV/0!</v>
      </c>
      <c r="L71" s="11"/>
    </row>
    <row r="72" spans="1:12" ht="13" x14ac:dyDescent="0.15">
      <c r="A72" s="22">
        <f t="shared" ref="A72:B72" si="22">A71+7</f>
        <v>46146</v>
      </c>
      <c r="B72" s="22">
        <f t="shared" si="22"/>
        <v>46152</v>
      </c>
      <c r="J72" s="18">
        <f>SUM(C72:I72)</f>
        <v>0</v>
      </c>
      <c r="K72" s="19" t="e">
        <f>(J72-J71)/J71</f>
        <v>#DIV/0!</v>
      </c>
      <c r="L72" s="11"/>
    </row>
    <row r="73" spans="1:12" ht="13" x14ac:dyDescent="0.15">
      <c r="A73" s="22">
        <f t="shared" ref="A73:B73" si="23">A72+7</f>
        <v>46153</v>
      </c>
      <c r="B73" s="22">
        <f t="shared" si="23"/>
        <v>46159</v>
      </c>
      <c r="J73" s="18">
        <f>SUM(C73:I73)</f>
        <v>0</v>
      </c>
      <c r="K73" s="19" t="e">
        <f>(J73-J72)/J72</f>
        <v>#DIV/0!</v>
      </c>
      <c r="L73" s="11"/>
    </row>
    <row r="74" spans="1:12" ht="13" x14ac:dyDescent="0.15">
      <c r="A74" s="22">
        <f t="shared" ref="A74:B74" si="24">A73+7</f>
        <v>46160</v>
      </c>
      <c r="B74" s="22">
        <f t="shared" si="24"/>
        <v>46166</v>
      </c>
      <c r="J74" s="18">
        <f>SUM(C74:I74)</f>
        <v>0</v>
      </c>
      <c r="K74" s="19" t="e">
        <f>(J74-J73)/J73</f>
        <v>#DIV/0!</v>
      </c>
      <c r="L74" s="11"/>
    </row>
    <row r="75" spans="1:12" ht="13" x14ac:dyDescent="0.15">
      <c r="A75" s="22">
        <f t="shared" ref="A75:B75" si="25">A74+7</f>
        <v>46167</v>
      </c>
      <c r="B75" s="22">
        <f t="shared" si="25"/>
        <v>46173</v>
      </c>
      <c r="J75" s="18">
        <f>SUM(C75:I75)</f>
        <v>0</v>
      </c>
      <c r="K75" s="19" t="e">
        <f>(J75-J74)/J74</f>
        <v>#DIV/0!</v>
      </c>
      <c r="L75" s="11"/>
    </row>
    <row r="76" spans="1:12" ht="13" x14ac:dyDescent="0.15">
      <c r="A76" s="22">
        <f t="shared" ref="A76:B76" si="26">A75+7</f>
        <v>46174</v>
      </c>
      <c r="B76" s="22">
        <f t="shared" si="26"/>
        <v>46180</v>
      </c>
      <c r="J76" s="18">
        <f>SUM(C76:I76)</f>
        <v>0</v>
      </c>
      <c r="K76" s="19" t="e">
        <f>(J76-J75)/J75</f>
        <v>#DIV/0!</v>
      </c>
      <c r="L76" s="11"/>
    </row>
    <row r="77" spans="1:12" ht="13" x14ac:dyDescent="0.15">
      <c r="A77" s="22">
        <f t="shared" ref="A77:B77" si="27">A76+7</f>
        <v>46181</v>
      </c>
      <c r="B77" s="22">
        <f t="shared" si="27"/>
        <v>46187</v>
      </c>
      <c r="J77" s="18">
        <f>SUM(C77:I77)</f>
        <v>0</v>
      </c>
      <c r="K77" s="19" t="e">
        <f>(J77-J76)/J76</f>
        <v>#DIV/0!</v>
      </c>
      <c r="L77" s="11"/>
    </row>
    <row r="78" spans="1:12" ht="13" x14ac:dyDescent="0.15">
      <c r="A78" s="22">
        <f t="shared" ref="A78:B78" si="28">A77+7</f>
        <v>46188</v>
      </c>
      <c r="B78" s="22">
        <f t="shared" si="28"/>
        <v>46194</v>
      </c>
      <c r="J78" s="18">
        <f>SUM(C78:I78)</f>
        <v>0</v>
      </c>
      <c r="K78" s="19" t="e">
        <f>(J78-J77)/J77</f>
        <v>#DIV/0!</v>
      </c>
      <c r="L78" s="11"/>
    </row>
    <row r="79" spans="1:12" ht="13" x14ac:dyDescent="0.15">
      <c r="A79" s="22">
        <f t="shared" ref="A79:B79" si="29">A78+7</f>
        <v>46195</v>
      </c>
      <c r="B79" s="22">
        <f t="shared" si="29"/>
        <v>46201</v>
      </c>
      <c r="J79" s="18">
        <f>SUM(C79:I79)</f>
        <v>0</v>
      </c>
      <c r="K79" s="19" t="e">
        <f>(J79-J78)/J78</f>
        <v>#DIV/0!</v>
      </c>
      <c r="L79" s="11"/>
    </row>
    <row r="80" spans="1:12" ht="13" x14ac:dyDescent="0.15">
      <c r="A80" s="22">
        <f t="shared" ref="A80:B80" si="30">A79+7</f>
        <v>46202</v>
      </c>
      <c r="B80" s="22">
        <f t="shared" si="30"/>
        <v>46208</v>
      </c>
      <c r="J80" s="18">
        <f>SUM(C80:I80)</f>
        <v>0</v>
      </c>
      <c r="K80" s="19" t="e">
        <f>(J80-J79)/J79</f>
        <v>#DIV/0!</v>
      </c>
      <c r="L80" s="11"/>
    </row>
    <row r="81" spans="1:12" ht="13" x14ac:dyDescent="0.15">
      <c r="A81" s="22">
        <f t="shared" ref="A81:B81" si="31">A80+7</f>
        <v>46209</v>
      </c>
      <c r="B81" s="22">
        <f t="shared" si="31"/>
        <v>46215</v>
      </c>
      <c r="J81" s="18">
        <f>SUM(C81:I81)</f>
        <v>0</v>
      </c>
      <c r="K81" s="19" t="e">
        <f>(J81-J80)/J80</f>
        <v>#DIV/0!</v>
      </c>
      <c r="L81" s="11"/>
    </row>
    <row r="82" spans="1:12" ht="13" x14ac:dyDescent="0.15">
      <c r="A82" s="22">
        <f t="shared" ref="A82:B82" si="32">A81+7</f>
        <v>46216</v>
      </c>
      <c r="B82" s="22">
        <f t="shared" si="32"/>
        <v>46222</v>
      </c>
      <c r="J82" s="18">
        <f>SUM(C82:I82)</f>
        <v>0</v>
      </c>
      <c r="K82" s="19" t="e">
        <f>(J82-J81)/J81</f>
        <v>#DIV/0!</v>
      </c>
      <c r="L82" s="11"/>
    </row>
    <row r="83" spans="1:12" ht="13" x14ac:dyDescent="0.15">
      <c r="A83" s="22">
        <f t="shared" ref="A83:B83" si="33">A82+7</f>
        <v>46223</v>
      </c>
      <c r="B83" s="22">
        <f t="shared" si="33"/>
        <v>46229</v>
      </c>
      <c r="J83" s="18">
        <f>SUM(C83:I83)</f>
        <v>0</v>
      </c>
      <c r="K83" s="19" t="e">
        <f>(J83-J82)/J82</f>
        <v>#DIV/0!</v>
      </c>
      <c r="L83" s="11"/>
    </row>
    <row r="84" spans="1:12" ht="13" x14ac:dyDescent="0.15">
      <c r="A84" s="22">
        <f t="shared" ref="A84:B84" si="34">A83+7</f>
        <v>46230</v>
      </c>
      <c r="B84" s="22">
        <f t="shared" si="34"/>
        <v>46236</v>
      </c>
      <c r="J84" s="18">
        <f>SUM(C84:I84)</f>
        <v>0</v>
      </c>
      <c r="K84" s="19" t="e">
        <f>(J84-J83)/J83</f>
        <v>#DIV/0!</v>
      </c>
      <c r="L84" s="11"/>
    </row>
    <row r="85" spans="1:12" ht="13" x14ac:dyDescent="0.15">
      <c r="A85" s="22">
        <f t="shared" ref="A85:B85" si="35">A84+7</f>
        <v>46237</v>
      </c>
      <c r="B85" s="22">
        <f t="shared" si="35"/>
        <v>46243</v>
      </c>
      <c r="J85" s="18">
        <f>SUM(C85:I85)</f>
        <v>0</v>
      </c>
      <c r="K85" s="19" t="e">
        <f>(J85-J84)/J84</f>
        <v>#DIV/0!</v>
      </c>
      <c r="L85" s="11"/>
    </row>
    <row r="86" spans="1:12" ht="13" x14ac:dyDescent="0.15">
      <c r="A86" s="22">
        <f t="shared" ref="A86:B86" si="36">A85+7</f>
        <v>46244</v>
      </c>
      <c r="B86" s="22">
        <f t="shared" si="36"/>
        <v>46250</v>
      </c>
      <c r="J86" s="18">
        <f>SUM(C86:I86)</f>
        <v>0</v>
      </c>
      <c r="K86" s="19" t="e">
        <f>(J86-J85)/J85</f>
        <v>#DIV/0!</v>
      </c>
      <c r="L86" s="11"/>
    </row>
    <row r="87" spans="1:12" ht="13" x14ac:dyDescent="0.15">
      <c r="A87" s="22">
        <f t="shared" ref="A87:B87" si="37">A86+7</f>
        <v>46251</v>
      </c>
      <c r="B87" s="22">
        <f t="shared" si="37"/>
        <v>46257</v>
      </c>
      <c r="J87" s="18">
        <f>SUM(C87:I87)</f>
        <v>0</v>
      </c>
      <c r="K87" s="19" t="e">
        <f>(J87-J86)/J86</f>
        <v>#DIV/0!</v>
      </c>
      <c r="L87" s="11"/>
    </row>
    <row r="88" spans="1:12" ht="13" x14ac:dyDescent="0.15">
      <c r="A88" s="22">
        <f t="shared" ref="A88:B88" si="38">A87+7</f>
        <v>46258</v>
      </c>
      <c r="B88" s="22">
        <f t="shared" si="38"/>
        <v>46264</v>
      </c>
      <c r="J88" s="18">
        <f>SUM(C88:I88)</f>
        <v>0</v>
      </c>
      <c r="K88" s="19" t="e">
        <f>(J88-J87)/J87</f>
        <v>#DIV/0!</v>
      </c>
      <c r="L88" s="11"/>
    </row>
    <row r="89" spans="1:12" ht="13" x14ac:dyDescent="0.15">
      <c r="A89" s="22">
        <f t="shared" ref="A89:B89" si="39">A88+7</f>
        <v>46265</v>
      </c>
      <c r="B89" s="22">
        <f t="shared" si="39"/>
        <v>46271</v>
      </c>
      <c r="J89" s="18">
        <f>SUM(C89:I89)</f>
        <v>0</v>
      </c>
      <c r="K89" s="19" t="e">
        <f>(J89-J88)/J88</f>
        <v>#DIV/0!</v>
      </c>
      <c r="L89" s="11"/>
    </row>
    <row r="90" spans="1:12" ht="13" x14ac:dyDescent="0.15">
      <c r="A90" s="22">
        <f t="shared" ref="A90:B90" si="40">A89+7</f>
        <v>46272</v>
      </c>
      <c r="B90" s="22">
        <f t="shared" si="40"/>
        <v>46278</v>
      </c>
      <c r="J90" s="18">
        <f>SUM(C90:I90)</f>
        <v>0</v>
      </c>
      <c r="K90" s="19" t="e">
        <f>(J90-J89)/J89</f>
        <v>#DIV/0!</v>
      </c>
      <c r="L90" s="11"/>
    </row>
    <row r="91" spans="1:12" ht="13" x14ac:dyDescent="0.15">
      <c r="A91" s="22">
        <f t="shared" ref="A91:B91" si="41">A90+7</f>
        <v>46279</v>
      </c>
      <c r="B91" s="22">
        <f t="shared" si="41"/>
        <v>46285</v>
      </c>
      <c r="J91" s="18">
        <f>SUM(C91:I91)</f>
        <v>0</v>
      </c>
      <c r="K91" s="19" t="e">
        <f>(J91-J90)/J90</f>
        <v>#DIV/0!</v>
      </c>
      <c r="L91" s="11"/>
    </row>
    <row r="92" spans="1:12" ht="13" x14ac:dyDescent="0.15">
      <c r="A92" s="22">
        <f t="shared" ref="A92:B92" si="42">A91+7</f>
        <v>46286</v>
      </c>
      <c r="B92" s="22">
        <f t="shared" si="42"/>
        <v>46292</v>
      </c>
      <c r="J92" s="18">
        <f>SUM(C92:I92)</f>
        <v>0</v>
      </c>
      <c r="K92" s="19" t="e">
        <f>(J92-J91)/J91</f>
        <v>#DIV/0!</v>
      </c>
      <c r="L92" s="11"/>
    </row>
    <row r="93" spans="1:12" ht="13" x14ac:dyDescent="0.15">
      <c r="A93" s="22">
        <f t="shared" ref="A93:B93" si="43">A92+7</f>
        <v>46293</v>
      </c>
      <c r="B93" s="22">
        <f t="shared" si="43"/>
        <v>46299</v>
      </c>
      <c r="J93" s="18">
        <f>SUM(C93:I93)</f>
        <v>0</v>
      </c>
      <c r="K93" s="19" t="e">
        <f>(J93-J92)/J92</f>
        <v>#DIV/0!</v>
      </c>
      <c r="L93" s="11"/>
    </row>
    <row r="94" spans="1:12" ht="13" x14ac:dyDescent="0.15">
      <c r="A94" s="22">
        <f t="shared" ref="A94:B94" si="44">A93+7</f>
        <v>46300</v>
      </c>
      <c r="B94" s="22">
        <f t="shared" si="44"/>
        <v>46306</v>
      </c>
      <c r="J94" s="18">
        <f>SUM(C94:I94)</f>
        <v>0</v>
      </c>
      <c r="K94" s="19" t="e">
        <f>(J94-J93)/J93</f>
        <v>#DIV/0!</v>
      </c>
      <c r="L94" s="11"/>
    </row>
    <row r="95" spans="1:12" ht="13" x14ac:dyDescent="0.15">
      <c r="A95" s="22">
        <f t="shared" ref="A95:B95" si="45">A94+7</f>
        <v>46307</v>
      </c>
      <c r="B95" s="22">
        <f t="shared" si="45"/>
        <v>46313</v>
      </c>
      <c r="J95" s="18">
        <f>SUM(C95:I95)</f>
        <v>0</v>
      </c>
      <c r="K95" s="19" t="e">
        <f>(J95-J94)/J94</f>
        <v>#DIV/0!</v>
      </c>
      <c r="L95" s="11"/>
    </row>
    <row r="96" spans="1:12" ht="13" x14ac:dyDescent="0.15">
      <c r="A96" s="22">
        <f t="shared" ref="A96:B96" si="46">A95+7</f>
        <v>46314</v>
      </c>
      <c r="B96" s="22">
        <f t="shared" si="46"/>
        <v>46320</v>
      </c>
      <c r="J96" s="18">
        <f>SUM(C96:I96)</f>
        <v>0</v>
      </c>
      <c r="K96" s="19" t="e">
        <f>(J96-J95)/J95</f>
        <v>#DIV/0!</v>
      </c>
      <c r="L96" s="11"/>
    </row>
    <row r="97" spans="1:12" ht="13" x14ac:dyDescent="0.15">
      <c r="A97" s="22">
        <f t="shared" ref="A97:B97" si="47">A96+7</f>
        <v>46321</v>
      </c>
      <c r="B97" s="22">
        <f t="shared" si="47"/>
        <v>46327</v>
      </c>
      <c r="J97" s="18">
        <f>SUM(C97:I97)</f>
        <v>0</v>
      </c>
      <c r="K97" s="19" t="e">
        <f>(J97-J96)/J96</f>
        <v>#DIV/0!</v>
      </c>
      <c r="L97" s="11"/>
    </row>
    <row r="98" spans="1:12" ht="13" x14ac:dyDescent="0.15">
      <c r="A98" s="22">
        <f t="shared" ref="A98:B98" si="48">A97+7</f>
        <v>46328</v>
      </c>
      <c r="B98" s="22">
        <f t="shared" si="48"/>
        <v>46334</v>
      </c>
      <c r="J98" s="18">
        <f>SUM(C98:I98)</f>
        <v>0</v>
      </c>
      <c r="K98" s="19" t="e">
        <f>(J98-J97)/J97</f>
        <v>#DIV/0!</v>
      </c>
      <c r="L98" s="11"/>
    </row>
    <row r="99" spans="1:12" ht="13" x14ac:dyDescent="0.15">
      <c r="A99" s="22">
        <f t="shared" ref="A99:B99" si="49">A98+7</f>
        <v>46335</v>
      </c>
      <c r="B99" s="22">
        <f t="shared" si="49"/>
        <v>46341</v>
      </c>
      <c r="J99" s="18">
        <f>SUM(C99:I99)</f>
        <v>0</v>
      </c>
      <c r="K99" s="19" t="e">
        <f>(J99-J98)/J98</f>
        <v>#DIV/0!</v>
      </c>
      <c r="L99" s="11"/>
    </row>
    <row r="100" spans="1:12" ht="13" x14ac:dyDescent="0.15">
      <c r="A100" s="22">
        <f t="shared" ref="A100:B100" si="50">A99+7</f>
        <v>46342</v>
      </c>
      <c r="B100" s="22">
        <f t="shared" si="50"/>
        <v>46348</v>
      </c>
      <c r="J100" s="18">
        <f>SUM(C100:I100)</f>
        <v>0</v>
      </c>
      <c r="K100" s="19" t="e">
        <f>(J100-J99)/J99</f>
        <v>#DIV/0!</v>
      </c>
      <c r="L100" s="11"/>
    </row>
    <row r="101" spans="1:12" ht="13" x14ac:dyDescent="0.15">
      <c r="A101" s="22">
        <f t="shared" ref="A101:B101" si="51">A100+7</f>
        <v>46349</v>
      </c>
      <c r="B101" s="22">
        <f t="shared" si="51"/>
        <v>46355</v>
      </c>
      <c r="J101" s="18">
        <f>SUM(C101:I101)</f>
        <v>0</v>
      </c>
      <c r="K101" s="19" t="e">
        <f>(J101-J100)/J100</f>
        <v>#DIV/0!</v>
      </c>
      <c r="L101" s="11"/>
    </row>
    <row r="102" spans="1:12" ht="13" x14ac:dyDescent="0.15">
      <c r="A102" s="22">
        <f t="shared" ref="A102:B102" si="52">A101+7</f>
        <v>46356</v>
      </c>
      <c r="B102" s="22">
        <f t="shared" si="52"/>
        <v>46362</v>
      </c>
      <c r="J102" s="18">
        <f>SUM(C102:I102)</f>
        <v>0</v>
      </c>
      <c r="K102" s="19" t="e">
        <f>(J102-J101)/J101</f>
        <v>#DIV/0!</v>
      </c>
      <c r="L102" s="11"/>
    </row>
    <row r="103" spans="1:12" ht="13" x14ac:dyDescent="0.15">
      <c r="A103" s="22">
        <f t="shared" ref="A103:B103" si="53">A102+7</f>
        <v>46363</v>
      </c>
      <c r="B103" s="22">
        <f t="shared" si="53"/>
        <v>46369</v>
      </c>
      <c r="J103" s="18">
        <f>SUM(C103:I103)</f>
        <v>0</v>
      </c>
      <c r="K103" s="19" t="e">
        <f>(J103-J102)/J102</f>
        <v>#DIV/0!</v>
      </c>
      <c r="L103" s="11"/>
    </row>
    <row r="104" spans="1:12" ht="13" x14ac:dyDescent="0.15">
      <c r="A104" s="22">
        <f t="shared" ref="A104:B104" si="54">A103+7</f>
        <v>46370</v>
      </c>
      <c r="B104" s="22">
        <f t="shared" si="54"/>
        <v>46376</v>
      </c>
      <c r="J104" s="18">
        <f>SUM(C104:I104)</f>
        <v>0</v>
      </c>
      <c r="K104" s="19" t="e">
        <f>(J104-J103)/J103</f>
        <v>#DIV/0!</v>
      </c>
      <c r="L104" s="11"/>
    </row>
    <row r="105" spans="1:12" ht="13" x14ac:dyDescent="0.15">
      <c r="A105" s="22">
        <f t="shared" ref="A105:B105" si="55">A104+7</f>
        <v>46377</v>
      </c>
      <c r="B105" s="22">
        <f t="shared" si="55"/>
        <v>46383</v>
      </c>
      <c r="J105" s="18">
        <f>SUM(C105:I105)</f>
        <v>0</v>
      </c>
      <c r="K105" s="19" t="e">
        <f>(J105-J104)/J104</f>
        <v>#DIV/0!</v>
      </c>
      <c r="L105" s="11"/>
    </row>
    <row r="106" spans="1:12" ht="13" x14ac:dyDescent="0.15">
      <c r="A106" s="22">
        <f t="shared" ref="A106:B106" si="56">A105+7</f>
        <v>46384</v>
      </c>
      <c r="B106" s="22">
        <f t="shared" si="56"/>
        <v>46390</v>
      </c>
      <c r="J106" s="18">
        <f>SUM(C106:I106)</f>
        <v>0</v>
      </c>
      <c r="K106" s="19" t="e">
        <f>(J106-J105)/J105</f>
        <v>#DIV/0!</v>
      </c>
      <c r="L106" s="11"/>
    </row>
    <row r="107" spans="1:12" ht="13" x14ac:dyDescent="0.15">
      <c r="A107" s="22"/>
      <c r="B107" s="22"/>
      <c r="J107" s="18"/>
      <c r="K107" s="19"/>
      <c r="L107" s="11"/>
    </row>
    <row r="108" spans="1:12" ht="13" x14ac:dyDescent="0.15">
      <c r="A108" s="22"/>
      <c r="B108" s="22"/>
      <c r="J108" s="18"/>
      <c r="K108" s="19"/>
      <c r="L108" s="11"/>
    </row>
    <row r="109" spans="1:12" ht="13" x14ac:dyDescent="0.15">
      <c r="A109" s="22"/>
      <c r="B109" s="22"/>
      <c r="J109" s="18"/>
      <c r="K109" s="19"/>
      <c r="L109" s="11"/>
    </row>
    <row r="110" spans="1:12" ht="13" x14ac:dyDescent="0.15">
      <c r="A110" s="22"/>
      <c r="B110" s="22"/>
      <c r="J110" s="18"/>
      <c r="K110" s="19"/>
      <c r="L110" s="11"/>
    </row>
    <row r="111" spans="1:12" ht="13" x14ac:dyDescent="0.15">
      <c r="A111" s="22"/>
      <c r="B111" s="22"/>
      <c r="J111" s="18"/>
      <c r="K111" s="19"/>
      <c r="L111" s="11"/>
    </row>
    <row r="112" spans="1:12" ht="13" x14ac:dyDescent="0.15">
      <c r="A112" s="22"/>
      <c r="B112" s="22"/>
      <c r="J112" s="18"/>
      <c r="K112" s="19"/>
      <c r="L112" s="11"/>
    </row>
    <row r="113" spans="10:12" ht="13" x14ac:dyDescent="0.15">
      <c r="J113" s="23"/>
      <c r="L113" s="11"/>
    </row>
    <row r="114" spans="10:12" ht="13" x14ac:dyDescent="0.15">
      <c r="J114" s="23"/>
      <c r="L114" s="11"/>
    </row>
    <row r="115" spans="10:12" ht="13" x14ac:dyDescent="0.15">
      <c r="J115" s="23"/>
      <c r="L115" s="11"/>
    </row>
    <row r="116" spans="10:12" ht="13" x14ac:dyDescent="0.15">
      <c r="J116" s="23"/>
      <c r="L116" s="11"/>
    </row>
    <row r="117" spans="10:12" ht="13" x14ac:dyDescent="0.15">
      <c r="J117" s="23"/>
      <c r="L117" s="11"/>
    </row>
    <row r="118" spans="10:12" ht="13" x14ac:dyDescent="0.15">
      <c r="J118" s="23"/>
      <c r="L118" s="11"/>
    </row>
    <row r="119" spans="10:12" ht="13" x14ac:dyDescent="0.15">
      <c r="J119" s="23"/>
      <c r="L119" s="11"/>
    </row>
    <row r="120" spans="10:12" ht="13" x14ac:dyDescent="0.15">
      <c r="J120" s="23"/>
      <c r="L120" s="11"/>
    </row>
    <row r="121" spans="10:12" ht="13" x14ac:dyDescent="0.15">
      <c r="J121" s="23"/>
      <c r="L121" s="11"/>
    </row>
    <row r="122" spans="10:12" ht="13" x14ac:dyDescent="0.15">
      <c r="J122" s="23"/>
      <c r="L122" s="11"/>
    </row>
    <row r="123" spans="10:12" ht="13" x14ac:dyDescent="0.15">
      <c r="J123" s="23"/>
      <c r="L123" s="11"/>
    </row>
    <row r="124" spans="10:12" ht="13" x14ac:dyDescent="0.15">
      <c r="J124" s="23"/>
      <c r="L124" s="11"/>
    </row>
    <row r="125" spans="10:12" ht="13" x14ac:dyDescent="0.15">
      <c r="J125" s="23"/>
      <c r="L125" s="11"/>
    </row>
    <row r="126" spans="10:12" ht="13" x14ac:dyDescent="0.15">
      <c r="J126" s="23"/>
      <c r="L126" s="11"/>
    </row>
    <row r="127" spans="10:12" ht="13" x14ac:dyDescent="0.15">
      <c r="J127" s="23"/>
      <c r="L127" s="11"/>
    </row>
    <row r="128" spans="10:12" ht="13" x14ac:dyDescent="0.15">
      <c r="J128" s="23"/>
      <c r="L128" s="11"/>
    </row>
    <row r="129" spans="10:12" ht="13" x14ac:dyDescent="0.15">
      <c r="J129" s="23"/>
      <c r="L129" s="11"/>
    </row>
    <row r="130" spans="10:12" ht="13" x14ac:dyDescent="0.15">
      <c r="J130" s="23"/>
      <c r="L130" s="11"/>
    </row>
    <row r="131" spans="10:12" ht="13" x14ac:dyDescent="0.15">
      <c r="J131" s="23"/>
      <c r="L131" s="11"/>
    </row>
    <row r="132" spans="10:12" ht="13" x14ac:dyDescent="0.15">
      <c r="J132" s="23"/>
      <c r="L132" s="11"/>
    </row>
    <row r="133" spans="10:12" ht="13" x14ac:dyDescent="0.15">
      <c r="J133" s="23"/>
      <c r="L133" s="11"/>
    </row>
    <row r="134" spans="10:12" ht="13" x14ac:dyDescent="0.15">
      <c r="J134" s="23"/>
      <c r="L134" s="11"/>
    </row>
    <row r="135" spans="10:12" ht="13" x14ac:dyDescent="0.15">
      <c r="J135" s="23"/>
      <c r="L135" s="11"/>
    </row>
    <row r="136" spans="10:12" ht="13" x14ac:dyDescent="0.15">
      <c r="J136" s="23"/>
      <c r="L136" s="11"/>
    </row>
    <row r="137" spans="10:12" ht="13" x14ac:dyDescent="0.15">
      <c r="J137" s="23"/>
      <c r="L137" s="11"/>
    </row>
    <row r="138" spans="10:12" ht="13" x14ac:dyDescent="0.15">
      <c r="J138" s="23"/>
      <c r="L138" s="11"/>
    </row>
    <row r="139" spans="10:12" ht="13" x14ac:dyDescent="0.15">
      <c r="J139" s="23"/>
      <c r="L139" s="11"/>
    </row>
    <row r="140" spans="10:12" ht="13" x14ac:dyDescent="0.15">
      <c r="J140" s="23"/>
      <c r="L140" s="11"/>
    </row>
    <row r="141" spans="10:12" ht="13" x14ac:dyDescent="0.15">
      <c r="J141" s="23"/>
      <c r="L141" s="11"/>
    </row>
    <row r="142" spans="10:12" ht="13" x14ac:dyDescent="0.15">
      <c r="J142" s="23"/>
      <c r="L142" s="11"/>
    </row>
    <row r="143" spans="10:12" ht="13" x14ac:dyDescent="0.15">
      <c r="J143" s="23"/>
      <c r="L143" s="11"/>
    </row>
    <row r="144" spans="10:12" ht="13" x14ac:dyDescent="0.15">
      <c r="J144" s="23"/>
      <c r="L144" s="11"/>
    </row>
    <row r="145" spans="10:12" ht="13" x14ac:dyDescent="0.15">
      <c r="J145" s="23"/>
      <c r="L145" s="11"/>
    </row>
    <row r="146" spans="10:12" ht="13" x14ac:dyDescent="0.15">
      <c r="J146" s="23"/>
      <c r="L146" s="11"/>
    </row>
    <row r="147" spans="10:12" ht="13" x14ac:dyDescent="0.15">
      <c r="J147" s="23"/>
      <c r="L147" s="11"/>
    </row>
    <row r="148" spans="10:12" ht="13" x14ac:dyDescent="0.15">
      <c r="J148" s="23"/>
      <c r="L148" s="11"/>
    </row>
    <row r="149" spans="10:12" ht="13" x14ac:dyDescent="0.15">
      <c r="J149" s="23"/>
      <c r="L149" s="11"/>
    </row>
    <row r="150" spans="10:12" ht="13" x14ac:dyDescent="0.15">
      <c r="J150" s="23"/>
      <c r="L150" s="11"/>
    </row>
    <row r="151" spans="10:12" ht="13" x14ac:dyDescent="0.15">
      <c r="J151" s="23"/>
      <c r="L151" s="11"/>
    </row>
    <row r="152" spans="10:12" ht="13" x14ac:dyDescent="0.15">
      <c r="J152" s="23"/>
      <c r="L152" s="11"/>
    </row>
    <row r="153" spans="10:12" ht="13" x14ac:dyDescent="0.15">
      <c r="J153" s="23"/>
      <c r="L153" s="11"/>
    </row>
    <row r="154" spans="10:12" ht="13" x14ac:dyDescent="0.15">
      <c r="J154" s="23"/>
      <c r="L154" s="11"/>
    </row>
    <row r="155" spans="10:12" ht="13" x14ac:dyDescent="0.15">
      <c r="J155" s="23"/>
      <c r="L155" s="11"/>
    </row>
    <row r="156" spans="10:12" ht="13" x14ac:dyDescent="0.15">
      <c r="J156" s="23"/>
      <c r="L156" s="11"/>
    </row>
    <row r="157" spans="10:12" ht="13" x14ac:dyDescent="0.15">
      <c r="J157" s="23"/>
      <c r="L157" s="11"/>
    </row>
    <row r="158" spans="10:12" ht="13" x14ac:dyDescent="0.15">
      <c r="J158" s="23"/>
      <c r="L158" s="11"/>
    </row>
    <row r="159" spans="10:12" ht="13" x14ac:dyDescent="0.15">
      <c r="J159" s="23"/>
      <c r="L159" s="11"/>
    </row>
    <row r="160" spans="10:12" ht="13" x14ac:dyDescent="0.15">
      <c r="J160" s="23"/>
      <c r="L160" s="11"/>
    </row>
    <row r="161" spans="10:12" ht="13" x14ac:dyDescent="0.15">
      <c r="J161" s="23"/>
      <c r="L161" s="11"/>
    </row>
    <row r="162" spans="10:12" ht="13" x14ac:dyDescent="0.15">
      <c r="J162" s="23"/>
      <c r="L162" s="11"/>
    </row>
    <row r="163" spans="10:12" ht="13" x14ac:dyDescent="0.15">
      <c r="J163" s="23"/>
      <c r="L163" s="11"/>
    </row>
    <row r="164" spans="10:12" ht="13" x14ac:dyDescent="0.15">
      <c r="J164" s="23"/>
      <c r="L164" s="11"/>
    </row>
    <row r="165" spans="10:12" ht="13" x14ac:dyDescent="0.15">
      <c r="J165" s="23"/>
      <c r="L165" s="11"/>
    </row>
    <row r="166" spans="10:12" ht="13" x14ac:dyDescent="0.15">
      <c r="J166" s="23"/>
      <c r="L166" s="11"/>
    </row>
    <row r="167" spans="10:12" ht="13" x14ac:dyDescent="0.15">
      <c r="J167" s="23"/>
      <c r="L167" s="11"/>
    </row>
    <row r="168" spans="10:12" ht="13" x14ac:dyDescent="0.15">
      <c r="J168" s="23"/>
      <c r="L168" s="11"/>
    </row>
    <row r="169" spans="10:12" ht="13" x14ac:dyDescent="0.15">
      <c r="J169" s="23"/>
      <c r="L169" s="11"/>
    </row>
    <row r="170" spans="10:12" ht="13" x14ac:dyDescent="0.15">
      <c r="J170" s="23"/>
      <c r="L170" s="11"/>
    </row>
    <row r="171" spans="10:12" ht="13" x14ac:dyDescent="0.15">
      <c r="J171" s="23"/>
      <c r="L171" s="11"/>
    </row>
    <row r="172" spans="10:12" ht="13" x14ac:dyDescent="0.15">
      <c r="J172" s="23"/>
      <c r="L172" s="11"/>
    </row>
    <row r="173" spans="10:12" ht="13" x14ac:dyDescent="0.15">
      <c r="J173" s="23"/>
      <c r="L173" s="11"/>
    </row>
    <row r="174" spans="10:12" ht="13" x14ac:dyDescent="0.15">
      <c r="J174" s="23"/>
      <c r="L174" s="11"/>
    </row>
    <row r="175" spans="10:12" ht="13" x14ac:dyDescent="0.15">
      <c r="J175" s="23"/>
      <c r="L175" s="11"/>
    </row>
    <row r="176" spans="10:12" ht="13" x14ac:dyDescent="0.15">
      <c r="J176" s="23"/>
      <c r="L176" s="11"/>
    </row>
    <row r="177" spans="10:12" ht="13" x14ac:dyDescent="0.15">
      <c r="J177" s="23"/>
      <c r="L177" s="11"/>
    </row>
    <row r="178" spans="10:12" ht="13" x14ac:dyDescent="0.15">
      <c r="J178" s="23"/>
      <c r="L178" s="11"/>
    </row>
    <row r="179" spans="10:12" ht="13" x14ac:dyDescent="0.15">
      <c r="J179" s="23"/>
      <c r="L179" s="11"/>
    </row>
    <row r="180" spans="10:12" ht="13" x14ac:dyDescent="0.15">
      <c r="J180" s="23"/>
      <c r="L180" s="11"/>
    </row>
    <row r="181" spans="10:12" ht="13" x14ac:dyDescent="0.15">
      <c r="J181" s="23"/>
      <c r="L181" s="11"/>
    </row>
    <row r="182" spans="10:12" ht="13" x14ac:dyDescent="0.15">
      <c r="J182" s="23"/>
      <c r="L182" s="11"/>
    </row>
    <row r="183" spans="10:12" ht="13" x14ac:dyDescent="0.15">
      <c r="J183" s="23"/>
      <c r="L183" s="11"/>
    </row>
    <row r="184" spans="10:12" ht="13" x14ac:dyDescent="0.15">
      <c r="J184" s="23"/>
      <c r="L184" s="11"/>
    </row>
    <row r="185" spans="10:12" ht="13" x14ac:dyDescent="0.15">
      <c r="J185" s="23"/>
      <c r="L185" s="11"/>
    </row>
    <row r="186" spans="10:12" ht="13" x14ac:dyDescent="0.15">
      <c r="J186" s="23"/>
      <c r="L186" s="11"/>
    </row>
    <row r="187" spans="10:12" ht="13" x14ac:dyDescent="0.15">
      <c r="J187" s="23"/>
      <c r="L187" s="11"/>
    </row>
    <row r="188" spans="10:12" ht="13" x14ac:dyDescent="0.15">
      <c r="J188" s="23"/>
      <c r="L188" s="11"/>
    </row>
    <row r="189" spans="10:12" ht="13" x14ac:dyDescent="0.15">
      <c r="J189" s="23"/>
      <c r="L189" s="11"/>
    </row>
    <row r="190" spans="10:12" ht="13" x14ac:dyDescent="0.15">
      <c r="J190" s="23"/>
      <c r="L190" s="11"/>
    </row>
    <row r="191" spans="10:12" ht="13" x14ac:dyDescent="0.15">
      <c r="J191" s="23"/>
      <c r="L191" s="11"/>
    </row>
    <row r="192" spans="10:12" ht="13" x14ac:dyDescent="0.15">
      <c r="J192" s="23"/>
      <c r="L192" s="11"/>
    </row>
    <row r="193" spans="10:12" ht="13" x14ac:dyDescent="0.15">
      <c r="J193" s="23"/>
      <c r="L193" s="11"/>
    </row>
    <row r="194" spans="10:12" ht="13" x14ac:dyDescent="0.15">
      <c r="J194" s="23"/>
      <c r="L194" s="11"/>
    </row>
    <row r="195" spans="10:12" ht="13" x14ac:dyDescent="0.15">
      <c r="J195" s="23"/>
      <c r="L195" s="11"/>
    </row>
    <row r="196" spans="10:12" ht="13" x14ac:dyDescent="0.15">
      <c r="J196" s="23"/>
      <c r="L196" s="11"/>
    </row>
    <row r="197" spans="10:12" ht="13" x14ac:dyDescent="0.15">
      <c r="J197" s="23"/>
      <c r="L197" s="11"/>
    </row>
    <row r="198" spans="10:12" ht="13" x14ac:dyDescent="0.15">
      <c r="J198" s="23"/>
      <c r="L198" s="11"/>
    </row>
    <row r="199" spans="10:12" ht="13" x14ac:dyDescent="0.15">
      <c r="J199" s="23"/>
      <c r="L199" s="11"/>
    </row>
    <row r="200" spans="10:12" ht="13" x14ac:dyDescent="0.15">
      <c r="J200" s="23"/>
      <c r="L200" s="11"/>
    </row>
    <row r="201" spans="10:12" ht="13" x14ac:dyDescent="0.15">
      <c r="J201" s="23"/>
      <c r="L201" s="11"/>
    </row>
    <row r="202" spans="10:12" ht="13" x14ac:dyDescent="0.15">
      <c r="J202" s="23"/>
      <c r="L202" s="11"/>
    </row>
    <row r="203" spans="10:12" ht="13" x14ac:dyDescent="0.15">
      <c r="J203" s="23"/>
      <c r="L203" s="11"/>
    </row>
    <row r="204" spans="10:12" ht="13" x14ac:dyDescent="0.15">
      <c r="J204" s="23"/>
      <c r="L204" s="11"/>
    </row>
    <row r="205" spans="10:12" ht="13" x14ac:dyDescent="0.15">
      <c r="J205" s="23"/>
      <c r="L205" s="11"/>
    </row>
    <row r="206" spans="10:12" ht="13" x14ac:dyDescent="0.15">
      <c r="J206" s="23"/>
      <c r="L206" s="11"/>
    </row>
    <row r="207" spans="10:12" ht="13" x14ac:dyDescent="0.15">
      <c r="J207" s="23"/>
      <c r="L207" s="11"/>
    </row>
    <row r="208" spans="10:12" ht="13" x14ac:dyDescent="0.15">
      <c r="J208" s="23"/>
      <c r="L208" s="11"/>
    </row>
    <row r="209" spans="10:12" ht="13" x14ac:dyDescent="0.15">
      <c r="J209" s="23"/>
      <c r="L209" s="11"/>
    </row>
    <row r="210" spans="10:12" ht="13" x14ac:dyDescent="0.15">
      <c r="J210" s="23"/>
      <c r="L210" s="11"/>
    </row>
    <row r="211" spans="10:12" ht="13" x14ac:dyDescent="0.15">
      <c r="J211" s="23"/>
      <c r="L211" s="11"/>
    </row>
    <row r="212" spans="10:12" ht="13" x14ac:dyDescent="0.15">
      <c r="J212" s="23"/>
      <c r="L212" s="11"/>
    </row>
    <row r="213" spans="10:12" ht="13" x14ac:dyDescent="0.15">
      <c r="J213" s="23"/>
      <c r="L213" s="11"/>
    </row>
    <row r="214" spans="10:12" ht="13" x14ac:dyDescent="0.15">
      <c r="J214" s="23"/>
      <c r="L214" s="11"/>
    </row>
    <row r="215" spans="10:12" ht="13" x14ac:dyDescent="0.15">
      <c r="J215" s="23"/>
      <c r="L215" s="11"/>
    </row>
    <row r="216" spans="10:12" ht="13" x14ac:dyDescent="0.15">
      <c r="J216" s="23"/>
      <c r="L216" s="11"/>
    </row>
    <row r="217" spans="10:12" ht="13" x14ac:dyDescent="0.15">
      <c r="J217" s="23"/>
      <c r="L217" s="11"/>
    </row>
    <row r="218" spans="10:12" ht="13" x14ac:dyDescent="0.15">
      <c r="J218" s="23"/>
      <c r="L218" s="11"/>
    </row>
    <row r="219" spans="10:12" ht="13" x14ac:dyDescent="0.15">
      <c r="J219" s="23"/>
      <c r="L219" s="11"/>
    </row>
    <row r="220" spans="10:12" ht="13" x14ac:dyDescent="0.15">
      <c r="J220" s="23"/>
      <c r="L220" s="11"/>
    </row>
    <row r="221" spans="10:12" ht="13" x14ac:dyDescent="0.15">
      <c r="J221" s="23"/>
      <c r="L221" s="11"/>
    </row>
    <row r="222" spans="10:12" ht="13" x14ac:dyDescent="0.15">
      <c r="J222" s="23"/>
      <c r="L222" s="11"/>
    </row>
    <row r="223" spans="10:12" ht="13" x14ac:dyDescent="0.15">
      <c r="J223" s="23"/>
      <c r="L223" s="11"/>
    </row>
    <row r="224" spans="10:12" ht="13" x14ac:dyDescent="0.15">
      <c r="J224" s="23"/>
      <c r="L224" s="11"/>
    </row>
    <row r="225" spans="10:12" ht="13" x14ac:dyDescent="0.15">
      <c r="J225" s="23"/>
      <c r="L225" s="11"/>
    </row>
    <row r="226" spans="10:12" ht="13" x14ac:dyDescent="0.15">
      <c r="J226" s="23"/>
      <c r="L226" s="11"/>
    </row>
    <row r="227" spans="10:12" ht="13" x14ac:dyDescent="0.15">
      <c r="J227" s="23"/>
      <c r="L227" s="11"/>
    </row>
    <row r="228" spans="10:12" ht="13" x14ac:dyDescent="0.15">
      <c r="J228" s="23"/>
      <c r="L228" s="11"/>
    </row>
    <row r="229" spans="10:12" ht="13" x14ac:dyDescent="0.15">
      <c r="J229" s="23"/>
      <c r="L229" s="11"/>
    </row>
    <row r="230" spans="10:12" ht="13" x14ac:dyDescent="0.15">
      <c r="J230" s="23"/>
      <c r="L230" s="11"/>
    </row>
    <row r="231" spans="10:12" ht="13" x14ac:dyDescent="0.15">
      <c r="J231" s="23"/>
      <c r="L231" s="11"/>
    </row>
    <row r="232" spans="10:12" ht="13" x14ac:dyDescent="0.15">
      <c r="J232" s="23"/>
      <c r="L232" s="11"/>
    </row>
    <row r="233" spans="10:12" ht="13" x14ac:dyDescent="0.15">
      <c r="J233" s="23"/>
      <c r="L233" s="11"/>
    </row>
    <row r="234" spans="10:12" ht="13" x14ac:dyDescent="0.15">
      <c r="J234" s="23"/>
      <c r="L234" s="11"/>
    </row>
    <row r="235" spans="10:12" ht="13" x14ac:dyDescent="0.15">
      <c r="J235" s="23"/>
      <c r="L235" s="11"/>
    </row>
    <row r="236" spans="10:12" ht="13" x14ac:dyDescent="0.15">
      <c r="J236" s="23"/>
      <c r="L236" s="11"/>
    </row>
    <row r="237" spans="10:12" ht="13" x14ac:dyDescent="0.15">
      <c r="J237" s="23"/>
      <c r="L237" s="11"/>
    </row>
    <row r="238" spans="10:12" ht="13" x14ac:dyDescent="0.15">
      <c r="J238" s="23"/>
      <c r="L238" s="11"/>
    </row>
    <row r="239" spans="10:12" ht="13" x14ac:dyDescent="0.15">
      <c r="J239" s="23"/>
      <c r="L239" s="11"/>
    </row>
    <row r="240" spans="10:12" ht="13" x14ac:dyDescent="0.15">
      <c r="J240" s="23"/>
      <c r="L240" s="11"/>
    </row>
    <row r="241" spans="10:12" ht="13" x14ac:dyDescent="0.15">
      <c r="J241" s="23"/>
      <c r="L241" s="11"/>
    </row>
    <row r="242" spans="10:12" ht="13" x14ac:dyDescent="0.15">
      <c r="J242" s="23"/>
      <c r="L242" s="11"/>
    </row>
    <row r="243" spans="10:12" ht="13" x14ac:dyDescent="0.15">
      <c r="J243" s="23"/>
      <c r="L243" s="11"/>
    </row>
    <row r="244" spans="10:12" ht="13" x14ac:dyDescent="0.15">
      <c r="J244" s="23"/>
      <c r="L244" s="11"/>
    </row>
    <row r="245" spans="10:12" ht="13" x14ac:dyDescent="0.15">
      <c r="J245" s="23"/>
      <c r="L245" s="11"/>
    </row>
    <row r="246" spans="10:12" ht="13" x14ac:dyDescent="0.15">
      <c r="J246" s="23"/>
      <c r="L246" s="11"/>
    </row>
    <row r="247" spans="10:12" ht="13" x14ac:dyDescent="0.15">
      <c r="J247" s="23"/>
      <c r="L247" s="11"/>
    </row>
    <row r="248" spans="10:12" ht="13" x14ac:dyDescent="0.15">
      <c r="J248" s="23"/>
      <c r="L248" s="11"/>
    </row>
    <row r="249" spans="10:12" ht="13" x14ac:dyDescent="0.15">
      <c r="J249" s="23"/>
      <c r="L249" s="11"/>
    </row>
    <row r="250" spans="10:12" ht="13" x14ac:dyDescent="0.15">
      <c r="J250" s="23"/>
      <c r="L250" s="11"/>
    </row>
    <row r="251" spans="10:12" ht="13" x14ac:dyDescent="0.15">
      <c r="J251" s="23"/>
      <c r="L251" s="11"/>
    </row>
    <row r="252" spans="10:12" ht="13" x14ac:dyDescent="0.15">
      <c r="J252" s="23"/>
      <c r="L252" s="11"/>
    </row>
    <row r="253" spans="10:12" ht="13" x14ac:dyDescent="0.15">
      <c r="J253" s="23"/>
      <c r="L253" s="11"/>
    </row>
    <row r="254" spans="10:12" ht="13" x14ac:dyDescent="0.15">
      <c r="J254" s="23"/>
      <c r="L254" s="11"/>
    </row>
    <row r="255" spans="10:12" ht="13" x14ac:dyDescent="0.15">
      <c r="J255" s="23"/>
      <c r="L255" s="11"/>
    </row>
    <row r="256" spans="10:12" ht="13" x14ac:dyDescent="0.15">
      <c r="J256" s="23"/>
      <c r="L256" s="11"/>
    </row>
    <row r="257" spans="10:12" ht="13" x14ac:dyDescent="0.15">
      <c r="J257" s="23"/>
      <c r="L257" s="11"/>
    </row>
    <row r="258" spans="10:12" ht="13" x14ac:dyDescent="0.15">
      <c r="J258" s="23"/>
      <c r="L258" s="11"/>
    </row>
    <row r="259" spans="10:12" ht="13" x14ac:dyDescent="0.15">
      <c r="J259" s="23"/>
      <c r="L259" s="11"/>
    </row>
    <row r="260" spans="10:12" ht="13" x14ac:dyDescent="0.15">
      <c r="J260" s="23"/>
      <c r="L260" s="11"/>
    </row>
    <row r="261" spans="10:12" ht="13" x14ac:dyDescent="0.15">
      <c r="J261" s="23"/>
      <c r="L261" s="11"/>
    </row>
    <row r="262" spans="10:12" ht="13" x14ac:dyDescent="0.15">
      <c r="J262" s="23"/>
      <c r="L262" s="11"/>
    </row>
    <row r="263" spans="10:12" ht="13" x14ac:dyDescent="0.15">
      <c r="J263" s="23"/>
      <c r="L263" s="11"/>
    </row>
    <row r="264" spans="10:12" ht="13" x14ac:dyDescent="0.15">
      <c r="J264" s="23"/>
      <c r="L264" s="11"/>
    </row>
    <row r="265" spans="10:12" ht="13" x14ac:dyDescent="0.15">
      <c r="J265" s="23"/>
      <c r="L265" s="11"/>
    </row>
    <row r="266" spans="10:12" ht="13" x14ac:dyDescent="0.15">
      <c r="J266" s="23"/>
      <c r="L266" s="11"/>
    </row>
    <row r="267" spans="10:12" ht="13" x14ac:dyDescent="0.15">
      <c r="J267" s="23"/>
      <c r="L267" s="11"/>
    </row>
    <row r="268" spans="10:12" ht="13" x14ac:dyDescent="0.15">
      <c r="J268" s="23"/>
      <c r="L268" s="11"/>
    </row>
    <row r="269" spans="10:12" ht="13" x14ac:dyDescent="0.15">
      <c r="J269" s="23"/>
      <c r="L269" s="11"/>
    </row>
    <row r="270" spans="10:12" ht="13" x14ac:dyDescent="0.15">
      <c r="J270" s="23"/>
      <c r="L270" s="11"/>
    </row>
    <row r="271" spans="10:12" ht="13" x14ac:dyDescent="0.15">
      <c r="J271" s="23"/>
      <c r="L271" s="11"/>
    </row>
    <row r="272" spans="10:12" ht="13" x14ac:dyDescent="0.15">
      <c r="J272" s="23"/>
      <c r="L272" s="11"/>
    </row>
    <row r="273" spans="10:12" ht="13" x14ac:dyDescent="0.15">
      <c r="J273" s="23"/>
      <c r="L273" s="11"/>
    </row>
    <row r="274" spans="10:12" ht="13" x14ac:dyDescent="0.15">
      <c r="J274" s="23"/>
      <c r="L274" s="11"/>
    </row>
    <row r="275" spans="10:12" ht="13" x14ac:dyDescent="0.15">
      <c r="J275" s="23"/>
      <c r="L275" s="11"/>
    </row>
    <row r="276" spans="10:12" ht="13" x14ac:dyDescent="0.15">
      <c r="J276" s="23"/>
      <c r="L276" s="11"/>
    </row>
    <row r="277" spans="10:12" ht="13" x14ac:dyDescent="0.15">
      <c r="J277" s="23"/>
      <c r="L277" s="11"/>
    </row>
    <row r="278" spans="10:12" ht="13" x14ac:dyDescent="0.15">
      <c r="J278" s="23"/>
      <c r="L278" s="11"/>
    </row>
    <row r="279" spans="10:12" ht="13" x14ac:dyDescent="0.15">
      <c r="J279" s="23"/>
      <c r="L279" s="11"/>
    </row>
    <row r="280" spans="10:12" ht="13" x14ac:dyDescent="0.15">
      <c r="J280" s="23"/>
      <c r="L280" s="11"/>
    </row>
    <row r="281" spans="10:12" ht="13" x14ac:dyDescent="0.15">
      <c r="J281" s="23"/>
      <c r="L281" s="11"/>
    </row>
    <row r="282" spans="10:12" ht="13" x14ac:dyDescent="0.15">
      <c r="J282" s="23"/>
      <c r="L282" s="11"/>
    </row>
    <row r="283" spans="10:12" ht="13" x14ac:dyDescent="0.15">
      <c r="J283" s="23"/>
      <c r="L283" s="11"/>
    </row>
    <row r="284" spans="10:12" ht="13" x14ac:dyDescent="0.15">
      <c r="J284" s="23"/>
      <c r="L284" s="11"/>
    </row>
    <row r="285" spans="10:12" ht="13" x14ac:dyDescent="0.15">
      <c r="J285" s="23"/>
      <c r="L285" s="11"/>
    </row>
    <row r="286" spans="10:12" ht="13" x14ac:dyDescent="0.15">
      <c r="J286" s="23"/>
      <c r="L286" s="11"/>
    </row>
    <row r="287" spans="10:12" ht="13" x14ac:dyDescent="0.15">
      <c r="J287" s="23"/>
      <c r="L287" s="11"/>
    </row>
    <row r="288" spans="10:12" ht="13" x14ac:dyDescent="0.15">
      <c r="J288" s="23"/>
      <c r="L288" s="11"/>
    </row>
    <row r="289" spans="10:12" ht="13" x14ac:dyDescent="0.15">
      <c r="J289" s="23"/>
      <c r="L289" s="11"/>
    </row>
    <row r="290" spans="10:12" ht="13" x14ac:dyDescent="0.15">
      <c r="J290" s="23"/>
      <c r="L290" s="11"/>
    </row>
    <row r="291" spans="10:12" ht="13" x14ac:dyDescent="0.15">
      <c r="J291" s="23"/>
      <c r="L291" s="11"/>
    </row>
    <row r="292" spans="10:12" ht="13" x14ac:dyDescent="0.15">
      <c r="J292" s="23"/>
      <c r="L292" s="11"/>
    </row>
    <row r="293" spans="10:12" ht="13" x14ac:dyDescent="0.15">
      <c r="J293" s="23"/>
      <c r="L293" s="11"/>
    </row>
    <row r="294" spans="10:12" ht="13" x14ac:dyDescent="0.15">
      <c r="J294" s="23"/>
      <c r="L294" s="11"/>
    </row>
    <row r="295" spans="10:12" ht="13" x14ac:dyDescent="0.15">
      <c r="J295" s="23"/>
      <c r="L295" s="11"/>
    </row>
    <row r="296" spans="10:12" ht="13" x14ac:dyDescent="0.15">
      <c r="J296" s="23"/>
      <c r="L296" s="11"/>
    </row>
    <row r="297" spans="10:12" ht="13" x14ac:dyDescent="0.15">
      <c r="J297" s="23"/>
      <c r="L297" s="11"/>
    </row>
    <row r="298" spans="10:12" ht="13" x14ac:dyDescent="0.15">
      <c r="J298" s="23"/>
      <c r="L298" s="11"/>
    </row>
    <row r="299" spans="10:12" ht="13" x14ac:dyDescent="0.15">
      <c r="J299" s="23"/>
      <c r="L299" s="11"/>
    </row>
    <row r="300" spans="10:12" ht="13" x14ac:dyDescent="0.15">
      <c r="J300" s="23"/>
      <c r="L300" s="11"/>
    </row>
    <row r="301" spans="10:12" ht="13" x14ac:dyDescent="0.15">
      <c r="J301" s="23"/>
      <c r="L301" s="11"/>
    </row>
    <row r="302" spans="10:12" ht="13" x14ac:dyDescent="0.15">
      <c r="J302" s="23"/>
      <c r="L302" s="11"/>
    </row>
    <row r="303" spans="10:12" ht="13" x14ac:dyDescent="0.15">
      <c r="J303" s="23"/>
      <c r="L303" s="11"/>
    </row>
    <row r="304" spans="10:12" ht="13" x14ac:dyDescent="0.15">
      <c r="J304" s="23"/>
      <c r="L304" s="11"/>
    </row>
    <row r="305" spans="10:12" ht="13" x14ac:dyDescent="0.15">
      <c r="J305" s="23"/>
      <c r="L305" s="11"/>
    </row>
    <row r="306" spans="10:12" ht="13" x14ac:dyDescent="0.15">
      <c r="J306" s="23"/>
      <c r="L306" s="11"/>
    </row>
    <row r="307" spans="10:12" ht="13" x14ac:dyDescent="0.15">
      <c r="J307" s="23"/>
      <c r="L307" s="11"/>
    </row>
    <row r="308" spans="10:12" ht="13" x14ac:dyDescent="0.15">
      <c r="J308" s="23"/>
      <c r="L308" s="11"/>
    </row>
    <row r="309" spans="10:12" ht="13" x14ac:dyDescent="0.15">
      <c r="J309" s="23"/>
      <c r="L309" s="11"/>
    </row>
    <row r="310" spans="10:12" ht="13" x14ac:dyDescent="0.15">
      <c r="J310" s="23"/>
      <c r="L310" s="11"/>
    </row>
    <row r="311" spans="10:12" ht="13" x14ac:dyDescent="0.15">
      <c r="J311" s="23"/>
      <c r="L311" s="11"/>
    </row>
    <row r="312" spans="10:12" ht="13" x14ac:dyDescent="0.15">
      <c r="J312" s="23"/>
      <c r="L312" s="11"/>
    </row>
    <row r="313" spans="10:12" ht="13" x14ac:dyDescent="0.15">
      <c r="J313" s="23"/>
      <c r="L313" s="11"/>
    </row>
    <row r="314" spans="10:12" ht="13" x14ac:dyDescent="0.15">
      <c r="J314" s="23"/>
      <c r="L314" s="11"/>
    </row>
    <row r="315" spans="10:12" ht="13" x14ac:dyDescent="0.15">
      <c r="J315" s="23"/>
      <c r="L315" s="11"/>
    </row>
    <row r="316" spans="10:12" ht="13" x14ac:dyDescent="0.15">
      <c r="J316" s="23"/>
      <c r="L316" s="11"/>
    </row>
    <row r="317" spans="10:12" ht="13" x14ac:dyDescent="0.15">
      <c r="J317" s="23"/>
      <c r="L317" s="11"/>
    </row>
    <row r="318" spans="10:12" ht="13" x14ac:dyDescent="0.15">
      <c r="J318" s="23"/>
      <c r="L318" s="11"/>
    </row>
    <row r="319" spans="10:12" ht="13" x14ac:dyDescent="0.15">
      <c r="J319" s="23"/>
      <c r="L319" s="11"/>
    </row>
    <row r="320" spans="10:12" ht="13" x14ac:dyDescent="0.15">
      <c r="J320" s="23"/>
      <c r="L320" s="11"/>
    </row>
    <row r="321" spans="10:12" ht="13" x14ac:dyDescent="0.15">
      <c r="J321" s="23"/>
      <c r="L321" s="11"/>
    </row>
    <row r="322" spans="10:12" ht="13" x14ac:dyDescent="0.15">
      <c r="J322" s="23"/>
      <c r="L322" s="11"/>
    </row>
    <row r="323" spans="10:12" ht="13" x14ac:dyDescent="0.15">
      <c r="J323" s="23"/>
      <c r="L323" s="11"/>
    </row>
    <row r="324" spans="10:12" ht="13" x14ac:dyDescent="0.15">
      <c r="J324" s="23"/>
      <c r="L324" s="11"/>
    </row>
    <row r="325" spans="10:12" ht="13" x14ac:dyDescent="0.15">
      <c r="J325" s="23"/>
      <c r="L325" s="11"/>
    </row>
    <row r="326" spans="10:12" ht="13" x14ac:dyDescent="0.15">
      <c r="J326" s="23"/>
      <c r="L326" s="11"/>
    </row>
    <row r="327" spans="10:12" ht="13" x14ac:dyDescent="0.15">
      <c r="J327" s="23"/>
      <c r="L327" s="11"/>
    </row>
    <row r="328" spans="10:12" ht="13" x14ac:dyDescent="0.15">
      <c r="J328" s="23"/>
      <c r="L328" s="11"/>
    </row>
    <row r="329" spans="10:12" ht="13" x14ac:dyDescent="0.15">
      <c r="J329" s="23"/>
      <c r="L329" s="11"/>
    </row>
    <row r="330" spans="10:12" ht="13" x14ac:dyDescent="0.15">
      <c r="J330" s="23"/>
      <c r="L330" s="11"/>
    </row>
    <row r="331" spans="10:12" ht="13" x14ac:dyDescent="0.15">
      <c r="J331" s="23"/>
      <c r="L331" s="11"/>
    </row>
    <row r="332" spans="10:12" ht="13" x14ac:dyDescent="0.15">
      <c r="J332" s="23"/>
      <c r="L332" s="11"/>
    </row>
    <row r="333" spans="10:12" ht="13" x14ac:dyDescent="0.15">
      <c r="J333" s="23"/>
      <c r="L333" s="11"/>
    </row>
    <row r="334" spans="10:12" ht="13" x14ac:dyDescent="0.15">
      <c r="J334" s="23"/>
      <c r="L334" s="11"/>
    </row>
    <row r="335" spans="10:12" ht="13" x14ac:dyDescent="0.15">
      <c r="J335" s="23"/>
      <c r="L335" s="11"/>
    </row>
    <row r="336" spans="10:12" ht="13" x14ac:dyDescent="0.15">
      <c r="J336" s="23"/>
      <c r="L336" s="11"/>
    </row>
    <row r="337" spans="10:12" ht="13" x14ac:dyDescent="0.15">
      <c r="J337" s="23"/>
      <c r="L337" s="11"/>
    </row>
    <row r="338" spans="10:12" ht="13" x14ac:dyDescent="0.15">
      <c r="J338" s="23"/>
      <c r="L338" s="11"/>
    </row>
    <row r="339" spans="10:12" ht="13" x14ac:dyDescent="0.15">
      <c r="J339" s="23"/>
      <c r="L339" s="11"/>
    </row>
    <row r="340" spans="10:12" ht="13" x14ac:dyDescent="0.15">
      <c r="J340" s="23"/>
      <c r="L340" s="11"/>
    </row>
    <row r="341" spans="10:12" ht="13" x14ac:dyDescent="0.15">
      <c r="J341" s="23"/>
      <c r="L341" s="11"/>
    </row>
    <row r="342" spans="10:12" ht="13" x14ac:dyDescent="0.15">
      <c r="J342" s="23"/>
      <c r="L342" s="11"/>
    </row>
    <row r="343" spans="10:12" ht="13" x14ac:dyDescent="0.15">
      <c r="J343" s="23"/>
      <c r="L343" s="11"/>
    </row>
    <row r="344" spans="10:12" ht="13" x14ac:dyDescent="0.15">
      <c r="J344" s="23"/>
      <c r="L344" s="11"/>
    </row>
    <row r="345" spans="10:12" ht="13" x14ac:dyDescent="0.15">
      <c r="J345" s="23"/>
      <c r="L345" s="11"/>
    </row>
    <row r="346" spans="10:12" ht="13" x14ac:dyDescent="0.15">
      <c r="J346" s="23"/>
      <c r="L346" s="11"/>
    </row>
    <row r="347" spans="10:12" ht="13" x14ac:dyDescent="0.15">
      <c r="J347" s="23"/>
      <c r="L347" s="11"/>
    </row>
    <row r="348" spans="10:12" ht="13" x14ac:dyDescent="0.15">
      <c r="J348" s="23"/>
      <c r="L348" s="11"/>
    </row>
    <row r="349" spans="10:12" ht="13" x14ac:dyDescent="0.15">
      <c r="J349" s="23"/>
      <c r="L349" s="11"/>
    </row>
    <row r="350" spans="10:12" ht="13" x14ac:dyDescent="0.15">
      <c r="J350" s="23"/>
      <c r="L350" s="11"/>
    </row>
    <row r="351" spans="10:12" ht="13" x14ac:dyDescent="0.15">
      <c r="J351" s="23"/>
      <c r="L351" s="11"/>
    </row>
    <row r="352" spans="10:12" ht="13" x14ac:dyDescent="0.15">
      <c r="J352" s="23"/>
      <c r="L352" s="11"/>
    </row>
    <row r="353" spans="10:12" ht="13" x14ac:dyDescent="0.15">
      <c r="J353" s="23"/>
      <c r="L353" s="11"/>
    </row>
    <row r="354" spans="10:12" ht="13" x14ac:dyDescent="0.15">
      <c r="J354" s="23"/>
      <c r="L354" s="11"/>
    </row>
    <row r="355" spans="10:12" ht="13" x14ac:dyDescent="0.15">
      <c r="J355" s="23"/>
      <c r="L355" s="11"/>
    </row>
    <row r="356" spans="10:12" ht="13" x14ac:dyDescent="0.15">
      <c r="J356" s="23"/>
      <c r="L356" s="11"/>
    </row>
    <row r="357" spans="10:12" ht="13" x14ac:dyDescent="0.15">
      <c r="J357" s="23"/>
      <c r="L357" s="11"/>
    </row>
    <row r="358" spans="10:12" ht="13" x14ac:dyDescent="0.15">
      <c r="J358" s="23"/>
      <c r="L358" s="11"/>
    </row>
    <row r="359" spans="10:12" ht="13" x14ac:dyDescent="0.15">
      <c r="J359" s="23"/>
      <c r="L359" s="11"/>
    </row>
    <row r="360" spans="10:12" ht="13" x14ac:dyDescent="0.15">
      <c r="J360" s="23"/>
      <c r="L360" s="11"/>
    </row>
    <row r="361" spans="10:12" ht="13" x14ac:dyDescent="0.15">
      <c r="J361" s="23"/>
      <c r="L361" s="11"/>
    </row>
    <row r="362" spans="10:12" ht="13" x14ac:dyDescent="0.15">
      <c r="J362" s="23"/>
      <c r="L362" s="11"/>
    </row>
    <row r="363" spans="10:12" ht="13" x14ac:dyDescent="0.15">
      <c r="J363" s="23"/>
      <c r="L363" s="11"/>
    </row>
    <row r="364" spans="10:12" ht="13" x14ac:dyDescent="0.15">
      <c r="J364" s="23"/>
      <c r="L364" s="11"/>
    </row>
    <row r="365" spans="10:12" ht="13" x14ac:dyDescent="0.15">
      <c r="J365" s="23"/>
      <c r="L365" s="11"/>
    </row>
    <row r="366" spans="10:12" ht="13" x14ac:dyDescent="0.15">
      <c r="J366" s="23"/>
      <c r="L366" s="11"/>
    </row>
    <row r="367" spans="10:12" ht="13" x14ac:dyDescent="0.15">
      <c r="J367" s="23"/>
      <c r="L367" s="11"/>
    </row>
    <row r="368" spans="10:12" ht="13" x14ac:dyDescent="0.15">
      <c r="J368" s="23"/>
      <c r="L368" s="11"/>
    </row>
    <row r="369" spans="10:12" ht="13" x14ac:dyDescent="0.15">
      <c r="J369" s="23"/>
      <c r="L369" s="11"/>
    </row>
    <row r="370" spans="10:12" ht="13" x14ac:dyDescent="0.15">
      <c r="J370" s="23"/>
      <c r="L370" s="11"/>
    </row>
    <row r="371" spans="10:12" ht="13" x14ac:dyDescent="0.15">
      <c r="J371" s="23"/>
      <c r="L371" s="11"/>
    </row>
    <row r="372" spans="10:12" ht="13" x14ac:dyDescent="0.15">
      <c r="J372" s="23"/>
      <c r="L372" s="11"/>
    </row>
    <row r="373" spans="10:12" ht="13" x14ac:dyDescent="0.15">
      <c r="J373" s="23"/>
      <c r="L373" s="11"/>
    </row>
    <row r="374" spans="10:12" ht="13" x14ac:dyDescent="0.15">
      <c r="J374" s="23"/>
      <c r="L374" s="11"/>
    </row>
    <row r="375" spans="10:12" ht="13" x14ac:dyDescent="0.15">
      <c r="J375" s="23"/>
      <c r="L375" s="11"/>
    </row>
    <row r="376" spans="10:12" ht="13" x14ac:dyDescent="0.15">
      <c r="J376" s="23"/>
      <c r="L376" s="11"/>
    </row>
    <row r="377" spans="10:12" ht="13" x14ac:dyDescent="0.15">
      <c r="J377" s="23"/>
      <c r="L377" s="11"/>
    </row>
    <row r="378" spans="10:12" ht="13" x14ac:dyDescent="0.15">
      <c r="J378" s="23"/>
      <c r="L378" s="11"/>
    </row>
    <row r="379" spans="10:12" ht="13" x14ac:dyDescent="0.15">
      <c r="J379" s="23"/>
      <c r="L379" s="11"/>
    </row>
    <row r="380" spans="10:12" ht="13" x14ac:dyDescent="0.15">
      <c r="J380" s="23"/>
      <c r="L380" s="11"/>
    </row>
    <row r="381" spans="10:12" ht="13" x14ac:dyDescent="0.15">
      <c r="J381" s="23"/>
      <c r="L381" s="11"/>
    </row>
    <row r="382" spans="10:12" ht="13" x14ac:dyDescent="0.15">
      <c r="J382" s="23"/>
      <c r="L382" s="11"/>
    </row>
    <row r="383" spans="10:12" ht="13" x14ac:dyDescent="0.15">
      <c r="J383" s="23"/>
      <c r="L383" s="11"/>
    </row>
    <row r="384" spans="10:12" ht="13" x14ac:dyDescent="0.15">
      <c r="J384" s="23"/>
      <c r="L384" s="11"/>
    </row>
    <row r="385" spans="10:12" ht="13" x14ac:dyDescent="0.15">
      <c r="J385" s="23"/>
      <c r="L385" s="11"/>
    </row>
    <row r="386" spans="10:12" ht="13" x14ac:dyDescent="0.15">
      <c r="J386" s="23"/>
      <c r="L386" s="11"/>
    </row>
    <row r="387" spans="10:12" ht="13" x14ac:dyDescent="0.15">
      <c r="J387" s="23"/>
      <c r="L387" s="11"/>
    </row>
    <row r="388" spans="10:12" ht="13" x14ac:dyDescent="0.15">
      <c r="J388" s="23"/>
      <c r="L388" s="11"/>
    </row>
    <row r="389" spans="10:12" ht="13" x14ac:dyDescent="0.15">
      <c r="J389" s="23"/>
      <c r="L389" s="11"/>
    </row>
    <row r="390" spans="10:12" ht="13" x14ac:dyDescent="0.15">
      <c r="J390" s="23"/>
      <c r="L390" s="11"/>
    </row>
    <row r="391" spans="10:12" ht="13" x14ac:dyDescent="0.15">
      <c r="J391" s="23"/>
      <c r="L391" s="11"/>
    </row>
    <row r="392" spans="10:12" ht="13" x14ac:dyDescent="0.15">
      <c r="J392" s="23"/>
      <c r="L392" s="11"/>
    </row>
    <row r="393" spans="10:12" ht="13" x14ac:dyDescent="0.15">
      <c r="J393" s="23"/>
      <c r="L393" s="11"/>
    </row>
    <row r="394" spans="10:12" ht="13" x14ac:dyDescent="0.15">
      <c r="J394" s="23"/>
      <c r="L394" s="11"/>
    </row>
    <row r="395" spans="10:12" ht="13" x14ac:dyDescent="0.15">
      <c r="J395" s="23"/>
      <c r="L395" s="11"/>
    </row>
    <row r="396" spans="10:12" ht="13" x14ac:dyDescent="0.15">
      <c r="J396" s="23"/>
      <c r="L396" s="11"/>
    </row>
    <row r="397" spans="10:12" ht="13" x14ac:dyDescent="0.15">
      <c r="J397" s="23"/>
      <c r="L397" s="11"/>
    </row>
    <row r="398" spans="10:12" ht="13" x14ac:dyDescent="0.15">
      <c r="J398" s="23"/>
      <c r="L398" s="11"/>
    </row>
    <row r="399" spans="10:12" ht="13" x14ac:dyDescent="0.15">
      <c r="J399" s="23"/>
      <c r="L399" s="11"/>
    </row>
    <row r="400" spans="10:12" ht="13" x14ac:dyDescent="0.15">
      <c r="J400" s="23"/>
      <c r="L400" s="11"/>
    </row>
    <row r="401" spans="10:12" ht="13" x14ac:dyDescent="0.15">
      <c r="J401" s="23"/>
      <c r="L401" s="11"/>
    </row>
    <row r="402" spans="10:12" ht="13" x14ac:dyDescent="0.15">
      <c r="J402" s="23"/>
      <c r="L402" s="11"/>
    </row>
    <row r="403" spans="10:12" ht="13" x14ac:dyDescent="0.15">
      <c r="J403" s="23"/>
      <c r="L403" s="11"/>
    </row>
    <row r="404" spans="10:12" ht="13" x14ac:dyDescent="0.15">
      <c r="J404" s="23"/>
      <c r="L404" s="11"/>
    </row>
    <row r="405" spans="10:12" ht="13" x14ac:dyDescent="0.15">
      <c r="J405" s="23"/>
      <c r="L405" s="11"/>
    </row>
    <row r="406" spans="10:12" ht="13" x14ac:dyDescent="0.15">
      <c r="J406" s="23"/>
      <c r="L406" s="11"/>
    </row>
    <row r="407" spans="10:12" ht="13" x14ac:dyDescent="0.15">
      <c r="J407" s="23"/>
      <c r="L407" s="11"/>
    </row>
    <row r="408" spans="10:12" ht="13" x14ac:dyDescent="0.15">
      <c r="J408" s="23"/>
      <c r="L408" s="11"/>
    </row>
    <row r="409" spans="10:12" ht="13" x14ac:dyDescent="0.15">
      <c r="J409" s="23"/>
      <c r="L409" s="11"/>
    </row>
    <row r="410" spans="10:12" ht="13" x14ac:dyDescent="0.15">
      <c r="J410" s="23"/>
      <c r="L410" s="11"/>
    </row>
    <row r="411" spans="10:12" ht="13" x14ac:dyDescent="0.15">
      <c r="J411" s="23"/>
      <c r="L411" s="11"/>
    </row>
    <row r="412" spans="10:12" ht="13" x14ac:dyDescent="0.15">
      <c r="J412" s="23"/>
      <c r="L412" s="11"/>
    </row>
    <row r="413" spans="10:12" ht="13" x14ac:dyDescent="0.15">
      <c r="J413" s="23"/>
      <c r="L413" s="11"/>
    </row>
    <row r="414" spans="10:12" ht="13" x14ac:dyDescent="0.15">
      <c r="J414" s="23"/>
      <c r="L414" s="11"/>
    </row>
    <row r="415" spans="10:12" ht="13" x14ac:dyDescent="0.15">
      <c r="J415" s="23"/>
      <c r="L415" s="11"/>
    </row>
    <row r="416" spans="10:12" ht="13" x14ac:dyDescent="0.15">
      <c r="J416" s="23"/>
      <c r="L416" s="11"/>
    </row>
    <row r="417" spans="10:12" ht="13" x14ac:dyDescent="0.15">
      <c r="J417" s="23"/>
      <c r="L417" s="11"/>
    </row>
    <row r="418" spans="10:12" ht="13" x14ac:dyDescent="0.15">
      <c r="J418" s="23"/>
      <c r="L418" s="11"/>
    </row>
    <row r="419" spans="10:12" ht="13" x14ac:dyDescent="0.15">
      <c r="J419" s="23"/>
      <c r="L419" s="11"/>
    </row>
    <row r="420" spans="10:12" ht="13" x14ac:dyDescent="0.15">
      <c r="J420" s="23"/>
      <c r="L420" s="11"/>
    </row>
    <row r="421" spans="10:12" ht="13" x14ac:dyDescent="0.15">
      <c r="J421" s="23"/>
      <c r="L421" s="11"/>
    </row>
    <row r="422" spans="10:12" ht="13" x14ac:dyDescent="0.15">
      <c r="J422" s="23"/>
      <c r="L422" s="11"/>
    </row>
    <row r="423" spans="10:12" ht="13" x14ac:dyDescent="0.15">
      <c r="J423" s="23"/>
      <c r="L423" s="11"/>
    </row>
    <row r="424" spans="10:12" ht="13" x14ac:dyDescent="0.15">
      <c r="J424" s="23"/>
      <c r="L424" s="11"/>
    </row>
    <row r="425" spans="10:12" ht="13" x14ac:dyDescent="0.15">
      <c r="J425" s="23"/>
      <c r="L425" s="11"/>
    </row>
    <row r="426" spans="10:12" ht="13" x14ac:dyDescent="0.15">
      <c r="J426" s="23"/>
      <c r="L426" s="11"/>
    </row>
    <row r="427" spans="10:12" ht="13" x14ac:dyDescent="0.15">
      <c r="J427" s="23"/>
      <c r="L427" s="11"/>
    </row>
    <row r="428" spans="10:12" ht="13" x14ac:dyDescent="0.15">
      <c r="J428" s="23"/>
      <c r="L428" s="11"/>
    </row>
    <row r="429" spans="10:12" ht="13" x14ac:dyDescent="0.15">
      <c r="J429" s="23"/>
      <c r="L429" s="11"/>
    </row>
    <row r="430" spans="10:12" ht="13" x14ac:dyDescent="0.15">
      <c r="J430" s="23"/>
      <c r="L430" s="11"/>
    </row>
    <row r="431" spans="10:12" ht="13" x14ac:dyDescent="0.15">
      <c r="J431" s="23"/>
      <c r="L431" s="11"/>
    </row>
    <row r="432" spans="10:12" ht="13" x14ac:dyDescent="0.15">
      <c r="J432" s="23"/>
      <c r="L432" s="11"/>
    </row>
    <row r="433" spans="10:12" ht="13" x14ac:dyDescent="0.15">
      <c r="J433" s="23"/>
      <c r="L433" s="11"/>
    </row>
    <row r="434" spans="10:12" ht="13" x14ac:dyDescent="0.15">
      <c r="J434" s="23"/>
      <c r="L434" s="11"/>
    </row>
    <row r="435" spans="10:12" ht="13" x14ac:dyDescent="0.15">
      <c r="J435" s="23"/>
      <c r="L435" s="11"/>
    </row>
    <row r="436" spans="10:12" ht="13" x14ac:dyDescent="0.15">
      <c r="J436" s="23"/>
      <c r="L436" s="11"/>
    </row>
    <row r="437" spans="10:12" ht="13" x14ac:dyDescent="0.15">
      <c r="J437" s="23"/>
      <c r="L437" s="11"/>
    </row>
    <row r="438" spans="10:12" ht="13" x14ac:dyDescent="0.15">
      <c r="J438" s="23"/>
      <c r="L438" s="11"/>
    </row>
    <row r="439" spans="10:12" ht="13" x14ac:dyDescent="0.15">
      <c r="J439" s="23"/>
      <c r="L439" s="11"/>
    </row>
    <row r="440" spans="10:12" ht="13" x14ac:dyDescent="0.15">
      <c r="J440" s="23"/>
      <c r="L440" s="11"/>
    </row>
    <row r="441" spans="10:12" ht="13" x14ac:dyDescent="0.15">
      <c r="J441" s="23"/>
      <c r="L441" s="11"/>
    </row>
    <row r="442" spans="10:12" ht="13" x14ac:dyDescent="0.15">
      <c r="J442" s="23"/>
      <c r="L442" s="11"/>
    </row>
    <row r="443" spans="10:12" ht="13" x14ac:dyDescent="0.15">
      <c r="J443" s="23"/>
      <c r="L443" s="11"/>
    </row>
    <row r="444" spans="10:12" ht="13" x14ac:dyDescent="0.15">
      <c r="J444" s="23"/>
      <c r="L444" s="11"/>
    </row>
    <row r="445" spans="10:12" ht="13" x14ac:dyDescent="0.15">
      <c r="J445" s="23"/>
      <c r="L445" s="11"/>
    </row>
    <row r="446" spans="10:12" ht="13" x14ac:dyDescent="0.15">
      <c r="J446" s="23"/>
      <c r="L446" s="11"/>
    </row>
    <row r="447" spans="10:12" ht="13" x14ac:dyDescent="0.15">
      <c r="J447" s="23"/>
      <c r="L447" s="11"/>
    </row>
    <row r="448" spans="10:12" ht="13" x14ac:dyDescent="0.15">
      <c r="J448" s="23"/>
      <c r="L448" s="11"/>
    </row>
    <row r="449" spans="10:12" ht="13" x14ac:dyDescent="0.15">
      <c r="J449" s="23"/>
      <c r="L449" s="11"/>
    </row>
    <row r="450" spans="10:12" ht="13" x14ac:dyDescent="0.15">
      <c r="J450" s="23"/>
      <c r="L450" s="11"/>
    </row>
    <row r="451" spans="10:12" ht="13" x14ac:dyDescent="0.15">
      <c r="J451" s="23"/>
      <c r="L451" s="11"/>
    </row>
    <row r="452" spans="10:12" ht="13" x14ac:dyDescent="0.15">
      <c r="J452" s="23"/>
      <c r="L452" s="11"/>
    </row>
    <row r="453" spans="10:12" ht="13" x14ac:dyDescent="0.15">
      <c r="J453" s="23"/>
      <c r="L453" s="11"/>
    </row>
    <row r="454" spans="10:12" ht="13" x14ac:dyDescent="0.15">
      <c r="J454" s="23"/>
      <c r="L454" s="11"/>
    </row>
    <row r="455" spans="10:12" ht="13" x14ac:dyDescent="0.15">
      <c r="J455" s="23"/>
      <c r="L455" s="11"/>
    </row>
    <row r="456" spans="10:12" ht="13" x14ac:dyDescent="0.15">
      <c r="J456" s="23"/>
      <c r="L456" s="11"/>
    </row>
    <row r="457" spans="10:12" ht="13" x14ac:dyDescent="0.15">
      <c r="J457" s="23"/>
      <c r="L457" s="11"/>
    </row>
    <row r="458" spans="10:12" ht="13" x14ac:dyDescent="0.15">
      <c r="J458" s="23"/>
      <c r="L458" s="11"/>
    </row>
    <row r="459" spans="10:12" ht="13" x14ac:dyDescent="0.15">
      <c r="J459" s="23"/>
      <c r="L459" s="11"/>
    </row>
    <row r="460" spans="10:12" ht="13" x14ac:dyDescent="0.15">
      <c r="J460" s="23"/>
      <c r="L460" s="11"/>
    </row>
    <row r="461" spans="10:12" ht="13" x14ac:dyDescent="0.15">
      <c r="J461" s="23"/>
      <c r="L461" s="11"/>
    </row>
    <row r="462" spans="10:12" ht="13" x14ac:dyDescent="0.15">
      <c r="J462" s="23"/>
      <c r="L462" s="11"/>
    </row>
    <row r="463" spans="10:12" ht="13" x14ac:dyDescent="0.15">
      <c r="J463" s="23"/>
      <c r="L463" s="11"/>
    </row>
    <row r="464" spans="10:12" ht="13" x14ac:dyDescent="0.15">
      <c r="J464" s="23"/>
      <c r="L464" s="11"/>
    </row>
    <row r="465" spans="10:12" ht="13" x14ac:dyDescent="0.15">
      <c r="J465" s="23"/>
      <c r="L465" s="11"/>
    </row>
    <row r="466" spans="10:12" ht="13" x14ac:dyDescent="0.15">
      <c r="J466" s="23"/>
      <c r="L466" s="11"/>
    </row>
    <row r="467" spans="10:12" ht="13" x14ac:dyDescent="0.15">
      <c r="J467" s="23"/>
      <c r="L467" s="11"/>
    </row>
    <row r="468" spans="10:12" ht="13" x14ac:dyDescent="0.15">
      <c r="J468" s="23"/>
      <c r="L468" s="11"/>
    </row>
    <row r="469" spans="10:12" ht="13" x14ac:dyDescent="0.15">
      <c r="J469" s="23"/>
      <c r="L469" s="11"/>
    </row>
    <row r="470" spans="10:12" ht="13" x14ac:dyDescent="0.15">
      <c r="J470" s="23"/>
      <c r="L470" s="11"/>
    </row>
    <row r="471" spans="10:12" ht="13" x14ac:dyDescent="0.15">
      <c r="J471" s="23"/>
      <c r="L471" s="11"/>
    </row>
    <row r="472" spans="10:12" ht="13" x14ac:dyDescent="0.15">
      <c r="J472" s="23"/>
      <c r="L472" s="11"/>
    </row>
    <row r="473" spans="10:12" ht="13" x14ac:dyDescent="0.15">
      <c r="J473" s="23"/>
      <c r="L473" s="11"/>
    </row>
    <row r="474" spans="10:12" ht="13" x14ac:dyDescent="0.15">
      <c r="J474" s="23"/>
      <c r="L474" s="11"/>
    </row>
    <row r="475" spans="10:12" ht="13" x14ac:dyDescent="0.15">
      <c r="J475" s="23"/>
      <c r="L475" s="11"/>
    </row>
    <row r="476" spans="10:12" ht="13" x14ac:dyDescent="0.15">
      <c r="J476" s="23"/>
      <c r="L476" s="11"/>
    </row>
    <row r="477" spans="10:12" ht="13" x14ac:dyDescent="0.15">
      <c r="J477" s="23"/>
      <c r="L477" s="11"/>
    </row>
    <row r="478" spans="10:12" ht="13" x14ac:dyDescent="0.15">
      <c r="J478" s="23"/>
      <c r="L478" s="11"/>
    </row>
    <row r="479" spans="10:12" ht="13" x14ac:dyDescent="0.15">
      <c r="J479" s="23"/>
      <c r="L479" s="11"/>
    </row>
    <row r="480" spans="10:12" ht="13" x14ac:dyDescent="0.15">
      <c r="J480" s="23"/>
      <c r="L480" s="11"/>
    </row>
    <row r="481" spans="10:12" ht="13" x14ac:dyDescent="0.15">
      <c r="J481" s="23"/>
      <c r="L481" s="11"/>
    </row>
    <row r="482" spans="10:12" ht="13" x14ac:dyDescent="0.15">
      <c r="J482" s="23"/>
      <c r="L482" s="11"/>
    </row>
    <row r="483" spans="10:12" ht="13" x14ac:dyDescent="0.15">
      <c r="J483" s="23"/>
      <c r="L483" s="11"/>
    </row>
    <row r="484" spans="10:12" ht="13" x14ac:dyDescent="0.15">
      <c r="J484" s="23"/>
      <c r="L484" s="11"/>
    </row>
    <row r="485" spans="10:12" ht="13" x14ac:dyDescent="0.15">
      <c r="J485" s="23"/>
      <c r="L485" s="11"/>
    </row>
    <row r="486" spans="10:12" ht="13" x14ac:dyDescent="0.15">
      <c r="J486" s="23"/>
      <c r="L486" s="11"/>
    </row>
    <row r="487" spans="10:12" ht="13" x14ac:dyDescent="0.15">
      <c r="J487" s="23"/>
      <c r="L487" s="11"/>
    </row>
    <row r="488" spans="10:12" ht="13" x14ac:dyDescent="0.15">
      <c r="J488" s="23"/>
      <c r="L488" s="11"/>
    </row>
    <row r="489" spans="10:12" ht="13" x14ac:dyDescent="0.15">
      <c r="J489" s="23"/>
      <c r="L489" s="11"/>
    </row>
    <row r="490" spans="10:12" ht="13" x14ac:dyDescent="0.15">
      <c r="J490" s="23"/>
      <c r="L490" s="11"/>
    </row>
    <row r="491" spans="10:12" ht="13" x14ac:dyDescent="0.15">
      <c r="J491" s="23"/>
      <c r="L491" s="11"/>
    </row>
    <row r="492" spans="10:12" ht="13" x14ac:dyDescent="0.15">
      <c r="J492" s="23"/>
      <c r="L492" s="11"/>
    </row>
    <row r="493" spans="10:12" ht="13" x14ac:dyDescent="0.15">
      <c r="J493" s="23"/>
      <c r="L493" s="11"/>
    </row>
    <row r="494" spans="10:12" ht="13" x14ac:dyDescent="0.15">
      <c r="J494" s="23"/>
      <c r="L494" s="11"/>
    </row>
    <row r="495" spans="10:12" ht="13" x14ac:dyDescent="0.15">
      <c r="J495" s="23"/>
      <c r="L495" s="11"/>
    </row>
    <row r="496" spans="10:12" ht="13" x14ac:dyDescent="0.15">
      <c r="J496" s="23"/>
      <c r="L496" s="11"/>
    </row>
    <row r="497" spans="10:12" ht="13" x14ac:dyDescent="0.15">
      <c r="J497" s="23"/>
      <c r="L497" s="11"/>
    </row>
    <row r="498" spans="10:12" ht="13" x14ac:dyDescent="0.15">
      <c r="J498" s="23"/>
      <c r="L498" s="11"/>
    </row>
    <row r="499" spans="10:12" ht="13" x14ac:dyDescent="0.15">
      <c r="J499" s="23"/>
      <c r="L499" s="11"/>
    </row>
    <row r="500" spans="10:12" ht="13" x14ac:dyDescent="0.15">
      <c r="J500" s="23"/>
      <c r="L500" s="11"/>
    </row>
    <row r="501" spans="10:12" ht="13" x14ac:dyDescent="0.15">
      <c r="J501" s="23"/>
      <c r="L501" s="11"/>
    </row>
    <row r="502" spans="10:12" ht="13" x14ac:dyDescent="0.15">
      <c r="J502" s="23"/>
      <c r="L502" s="11"/>
    </row>
    <row r="503" spans="10:12" ht="13" x14ac:dyDescent="0.15">
      <c r="J503" s="23"/>
      <c r="L503" s="11"/>
    </row>
    <row r="504" spans="10:12" ht="13" x14ac:dyDescent="0.15">
      <c r="J504" s="23"/>
      <c r="L504" s="11"/>
    </row>
    <row r="505" spans="10:12" ht="13" x14ac:dyDescent="0.15">
      <c r="J505" s="23"/>
      <c r="L505" s="11"/>
    </row>
    <row r="506" spans="10:12" ht="13" x14ac:dyDescent="0.15">
      <c r="J506" s="23"/>
      <c r="L506" s="11"/>
    </row>
    <row r="507" spans="10:12" ht="13" x14ac:dyDescent="0.15">
      <c r="J507" s="23"/>
      <c r="L507" s="11"/>
    </row>
    <row r="508" spans="10:12" ht="13" x14ac:dyDescent="0.15">
      <c r="J508" s="23"/>
      <c r="L508" s="11"/>
    </row>
    <row r="509" spans="10:12" ht="13" x14ac:dyDescent="0.15">
      <c r="J509" s="23"/>
      <c r="L509" s="11"/>
    </row>
    <row r="510" spans="10:12" ht="13" x14ac:dyDescent="0.15">
      <c r="J510" s="23"/>
      <c r="L510" s="11"/>
    </row>
    <row r="511" spans="10:12" ht="13" x14ac:dyDescent="0.15">
      <c r="J511" s="23"/>
      <c r="L511" s="11"/>
    </row>
    <row r="512" spans="10:12" ht="13" x14ac:dyDescent="0.15">
      <c r="J512" s="23"/>
      <c r="L512" s="11"/>
    </row>
    <row r="513" spans="10:12" ht="13" x14ac:dyDescent="0.15">
      <c r="J513" s="23"/>
      <c r="L513" s="11"/>
    </row>
    <row r="514" spans="10:12" ht="13" x14ac:dyDescent="0.15">
      <c r="J514" s="23"/>
      <c r="L514" s="11"/>
    </row>
    <row r="515" spans="10:12" ht="13" x14ac:dyDescent="0.15">
      <c r="J515" s="23"/>
      <c r="L515" s="11"/>
    </row>
    <row r="516" spans="10:12" ht="13" x14ac:dyDescent="0.15">
      <c r="J516" s="23"/>
      <c r="L516" s="11"/>
    </row>
    <row r="517" spans="10:12" ht="13" x14ac:dyDescent="0.15">
      <c r="J517" s="23"/>
      <c r="L517" s="11"/>
    </row>
    <row r="518" spans="10:12" ht="13" x14ac:dyDescent="0.15">
      <c r="J518" s="23"/>
      <c r="L518" s="11"/>
    </row>
    <row r="519" spans="10:12" ht="13" x14ac:dyDescent="0.15">
      <c r="J519" s="23"/>
      <c r="L519" s="11"/>
    </row>
    <row r="520" spans="10:12" ht="13" x14ac:dyDescent="0.15">
      <c r="J520" s="23"/>
      <c r="L520" s="11"/>
    </row>
    <row r="521" spans="10:12" ht="13" x14ac:dyDescent="0.15">
      <c r="J521" s="23"/>
      <c r="L521" s="11"/>
    </row>
    <row r="522" spans="10:12" ht="13" x14ac:dyDescent="0.15">
      <c r="J522" s="23"/>
      <c r="L522" s="11"/>
    </row>
    <row r="523" spans="10:12" ht="13" x14ac:dyDescent="0.15">
      <c r="J523" s="23"/>
      <c r="L523" s="11"/>
    </row>
    <row r="524" spans="10:12" ht="13" x14ac:dyDescent="0.15">
      <c r="J524" s="23"/>
      <c r="L524" s="11"/>
    </row>
    <row r="525" spans="10:12" ht="13" x14ac:dyDescent="0.15">
      <c r="J525" s="23"/>
      <c r="L525" s="11"/>
    </row>
    <row r="526" spans="10:12" ht="13" x14ac:dyDescent="0.15">
      <c r="J526" s="23"/>
      <c r="L526" s="11"/>
    </row>
    <row r="527" spans="10:12" ht="13" x14ac:dyDescent="0.15">
      <c r="J527" s="23"/>
      <c r="L527" s="11"/>
    </row>
    <row r="528" spans="10:12" ht="13" x14ac:dyDescent="0.15">
      <c r="J528" s="23"/>
      <c r="L528" s="11"/>
    </row>
    <row r="529" spans="10:12" ht="13" x14ac:dyDescent="0.15">
      <c r="J529" s="23"/>
      <c r="L529" s="11"/>
    </row>
    <row r="530" spans="10:12" ht="13" x14ac:dyDescent="0.15">
      <c r="J530" s="23"/>
      <c r="L530" s="11"/>
    </row>
    <row r="531" spans="10:12" ht="13" x14ac:dyDescent="0.15">
      <c r="J531" s="23"/>
      <c r="L531" s="11"/>
    </row>
    <row r="532" spans="10:12" ht="13" x14ac:dyDescent="0.15">
      <c r="J532" s="23"/>
      <c r="L532" s="11"/>
    </row>
    <row r="533" spans="10:12" ht="13" x14ac:dyDescent="0.15">
      <c r="J533" s="23"/>
      <c r="L533" s="11"/>
    </row>
    <row r="534" spans="10:12" ht="13" x14ac:dyDescent="0.15">
      <c r="J534" s="23"/>
      <c r="L534" s="11"/>
    </row>
    <row r="535" spans="10:12" ht="13" x14ac:dyDescent="0.15">
      <c r="J535" s="23"/>
      <c r="L535" s="11"/>
    </row>
    <row r="536" spans="10:12" ht="13" x14ac:dyDescent="0.15">
      <c r="J536" s="23"/>
      <c r="L536" s="11"/>
    </row>
    <row r="537" spans="10:12" ht="13" x14ac:dyDescent="0.15">
      <c r="J537" s="23"/>
      <c r="L537" s="11"/>
    </row>
    <row r="538" spans="10:12" ht="13" x14ac:dyDescent="0.15">
      <c r="J538" s="23"/>
      <c r="L538" s="11"/>
    </row>
    <row r="539" spans="10:12" ht="13" x14ac:dyDescent="0.15">
      <c r="J539" s="23"/>
      <c r="L539" s="11"/>
    </row>
    <row r="540" spans="10:12" ht="13" x14ac:dyDescent="0.15">
      <c r="J540" s="23"/>
      <c r="L540" s="11"/>
    </row>
    <row r="541" spans="10:12" ht="13" x14ac:dyDescent="0.15">
      <c r="J541" s="23"/>
      <c r="L541" s="11"/>
    </row>
    <row r="542" spans="10:12" ht="13" x14ac:dyDescent="0.15">
      <c r="J542" s="23"/>
      <c r="L542" s="11"/>
    </row>
    <row r="543" spans="10:12" ht="13" x14ac:dyDescent="0.15">
      <c r="J543" s="23"/>
      <c r="L543" s="11"/>
    </row>
    <row r="544" spans="10:12" ht="13" x14ac:dyDescent="0.15">
      <c r="J544" s="23"/>
      <c r="L544" s="11"/>
    </row>
    <row r="545" spans="10:12" ht="13" x14ac:dyDescent="0.15">
      <c r="J545" s="23"/>
      <c r="L545" s="11"/>
    </row>
    <row r="546" spans="10:12" ht="13" x14ac:dyDescent="0.15">
      <c r="J546" s="23"/>
      <c r="L546" s="11"/>
    </row>
    <row r="547" spans="10:12" ht="13" x14ac:dyDescent="0.15">
      <c r="J547" s="23"/>
      <c r="L547" s="11"/>
    </row>
    <row r="548" spans="10:12" ht="13" x14ac:dyDescent="0.15">
      <c r="J548" s="23"/>
      <c r="L548" s="11"/>
    </row>
    <row r="549" spans="10:12" ht="13" x14ac:dyDescent="0.15">
      <c r="J549" s="23"/>
      <c r="L549" s="11"/>
    </row>
    <row r="550" spans="10:12" ht="13" x14ac:dyDescent="0.15">
      <c r="J550" s="23"/>
      <c r="L550" s="11"/>
    </row>
    <row r="551" spans="10:12" ht="13" x14ac:dyDescent="0.15">
      <c r="J551" s="23"/>
      <c r="L551" s="11"/>
    </row>
    <row r="552" spans="10:12" ht="13" x14ac:dyDescent="0.15">
      <c r="J552" s="23"/>
      <c r="L552" s="11"/>
    </row>
    <row r="553" spans="10:12" ht="13" x14ac:dyDescent="0.15">
      <c r="J553" s="23"/>
      <c r="L553" s="11"/>
    </row>
    <row r="554" spans="10:12" ht="13" x14ac:dyDescent="0.15">
      <c r="J554" s="23"/>
      <c r="L554" s="11"/>
    </row>
    <row r="555" spans="10:12" ht="13" x14ac:dyDescent="0.15">
      <c r="J555" s="23"/>
      <c r="L555" s="11"/>
    </row>
    <row r="556" spans="10:12" ht="13" x14ac:dyDescent="0.15">
      <c r="J556" s="23"/>
      <c r="L556" s="11"/>
    </row>
    <row r="557" spans="10:12" ht="13" x14ac:dyDescent="0.15">
      <c r="J557" s="23"/>
      <c r="L557" s="11"/>
    </row>
    <row r="558" spans="10:12" ht="13" x14ac:dyDescent="0.15">
      <c r="J558" s="23"/>
      <c r="L558" s="11"/>
    </row>
    <row r="559" spans="10:12" ht="13" x14ac:dyDescent="0.15">
      <c r="J559" s="23"/>
      <c r="L559" s="11"/>
    </row>
    <row r="560" spans="10:12" ht="13" x14ac:dyDescent="0.15">
      <c r="J560" s="23"/>
      <c r="L560" s="11"/>
    </row>
    <row r="561" spans="10:12" ht="13" x14ac:dyDescent="0.15">
      <c r="J561" s="23"/>
      <c r="L561" s="11"/>
    </row>
    <row r="562" spans="10:12" ht="13" x14ac:dyDescent="0.15">
      <c r="J562" s="23"/>
      <c r="L562" s="11"/>
    </row>
    <row r="563" spans="10:12" ht="13" x14ac:dyDescent="0.15">
      <c r="J563" s="23"/>
      <c r="L563" s="11"/>
    </row>
    <row r="564" spans="10:12" ht="13" x14ac:dyDescent="0.15">
      <c r="J564" s="23"/>
      <c r="L564" s="11"/>
    </row>
    <row r="565" spans="10:12" ht="13" x14ac:dyDescent="0.15">
      <c r="J565" s="23"/>
      <c r="L565" s="11"/>
    </row>
    <row r="566" spans="10:12" ht="13" x14ac:dyDescent="0.15">
      <c r="J566" s="23"/>
      <c r="L566" s="11"/>
    </row>
    <row r="567" spans="10:12" ht="13" x14ac:dyDescent="0.15">
      <c r="J567" s="23"/>
      <c r="L567" s="11"/>
    </row>
    <row r="568" spans="10:12" ht="13" x14ac:dyDescent="0.15">
      <c r="J568" s="23"/>
      <c r="L568" s="11"/>
    </row>
    <row r="569" spans="10:12" ht="13" x14ac:dyDescent="0.15">
      <c r="J569" s="23"/>
      <c r="L569" s="11"/>
    </row>
    <row r="570" spans="10:12" ht="13" x14ac:dyDescent="0.15">
      <c r="J570" s="23"/>
      <c r="L570" s="11"/>
    </row>
    <row r="571" spans="10:12" ht="13" x14ac:dyDescent="0.15">
      <c r="J571" s="23"/>
      <c r="L571" s="11"/>
    </row>
    <row r="572" spans="10:12" ht="13" x14ac:dyDescent="0.15">
      <c r="J572" s="23"/>
      <c r="L572" s="11"/>
    </row>
    <row r="573" spans="10:12" ht="13" x14ac:dyDescent="0.15">
      <c r="J573" s="23"/>
      <c r="L573" s="11"/>
    </row>
    <row r="574" spans="10:12" ht="13" x14ac:dyDescent="0.15">
      <c r="J574" s="23"/>
      <c r="L574" s="11"/>
    </row>
    <row r="575" spans="10:12" ht="13" x14ac:dyDescent="0.15">
      <c r="J575" s="23"/>
      <c r="L575" s="11"/>
    </row>
    <row r="576" spans="10:12" ht="13" x14ac:dyDescent="0.15">
      <c r="J576" s="23"/>
      <c r="L576" s="11"/>
    </row>
    <row r="577" spans="10:12" ht="13" x14ac:dyDescent="0.15">
      <c r="J577" s="23"/>
      <c r="L577" s="11"/>
    </row>
    <row r="578" spans="10:12" ht="13" x14ac:dyDescent="0.15">
      <c r="J578" s="23"/>
      <c r="L578" s="11"/>
    </row>
    <row r="579" spans="10:12" ht="13" x14ac:dyDescent="0.15">
      <c r="J579" s="23"/>
      <c r="L579" s="11"/>
    </row>
    <row r="580" spans="10:12" ht="13" x14ac:dyDescent="0.15">
      <c r="J580" s="23"/>
      <c r="L580" s="11"/>
    </row>
    <row r="581" spans="10:12" ht="13" x14ac:dyDescent="0.15">
      <c r="J581" s="23"/>
      <c r="L581" s="11"/>
    </row>
    <row r="582" spans="10:12" ht="13" x14ac:dyDescent="0.15">
      <c r="J582" s="23"/>
      <c r="L582" s="11"/>
    </row>
    <row r="583" spans="10:12" ht="13" x14ac:dyDescent="0.15">
      <c r="J583" s="23"/>
      <c r="L583" s="11"/>
    </row>
    <row r="584" spans="10:12" ht="13" x14ac:dyDescent="0.15">
      <c r="J584" s="23"/>
      <c r="L584" s="11"/>
    </row>
    <row r="585" spans="10:12" ht="13" x14ac:dyDescent="0.15">
      <c r="J585" s="23"/>
      <c r="L585" s="11"/>
    </row>
    <row r="586" spans="10:12" ht="13" x14ac:dyDescent="0.15">
      <c r="J586" s="23"/>
      <c r="L586" s="11"/>
    </row>
    <row r="587" spans="10:12" ht="13" x14ac:dyDescent="0.15">
      <c r="J587" s="23"/>
      <c r="L587" s="11"/>
    </row>
    <row r="588" spans="10:12" ht="13" x14ac:dyDescent="0.15">
      <c r="J588" s="23"/>
      <c r="L588" s="11"/>
    </row>
    <row r="589" spans="10:12" ht="13" x14ac:dyDescent="0.15">
      <c r="J589" s="23"/>
      <c r="L589" s="11"/>
    </row>
    <row r="590" spans="10:12" ht="13" x14ac:dyDescent="0.15">
      <c r="J590" s="23"/>
      <c r="L590" s="11"/>
    </row>
    <row r="591" spans="10:12" ht="13" x14ac:dyDescent="0.15">
      <c r="J591" s="23"/>
      <c r="L591" s="11"/>
    </row>
    <row r="592" spans="10:12" ht="13" x14ac:dyDescent="0.15">
      <c r="J592" s="23"/>
      <c r="L592" s="11"/>
    </row>
    <row r="593" spans="10:12" ht="13" x14ac:dyDescent="0.15">
      <c r="J593" s="23"/>
      <c r="L593" s="11"/>
    </row>
    <row r="594" spans="10:12" ht="13" x14ac:dyDescent="0.15">
      <c r="J594" s="23"/>
      <c r="L594" s="11"/>
    </row>
    <row r="595" spans="10:12" ht="13" x14ac:dyDescent="0.15">
      <c r="J595" s="23"/>
      <c r="L595" s="11"/>
    </row>
    <row r="596" spans="10:12" ht="13" x14ac:dyDescent="0.15">
      <c r="J596" s="23"/>
      <c r="L596" s="11"/>
    </row>
    <row r="597" spans="10:12" ht="13" x14ac:dyDescent="0.15">
      <c r="J597" s="23"/>
      <c r="L597" s="11"/>
    </row>
    <row r="598" spans="10:12" ht="13" x14ac:dyDescent="0.15">
      <c r="J598" s="23"/>
      <c r="L598" s="11"/>
    </row>
    <row r="599" spans="10:12" ht="13" x14ac:dyDescent="0.15">
      <c r="J599" s="23"/>
      <c r="L599" s="11"/>
    </row>
    <row r="600" spans="10:12" ht="13" x14ac:dyDescent="0.15">
      <c r="J600" s="23"/>
      <c r="L600" s="11"/>
    </row>
    <row r="601" spans="10:12" ht="13" x14ac:dyDescent="0.15">
      <c r="J601" s="23"/>
      <c r="L601" s="11"/>
    </row>
    <row r="602" spans="10:12" ht="13" x14ac:dyDescent="0.15">
      <c r="J602" s="23"/>
      <c r="L602" s="11"/>
    </row>
    <row r="603" spans="10:12" ht="13" x14ac:dyDescent="0.15">
      <c r="J603" s="23"/>
      <c r="L603" s="11"/>
    </row>
    <row r="604" spans="10:12" ht="13" x14ac:dyDescent="0.15">
      <c r="J604" s="23"/>
      <c r="L604" s="11"/>
    </row>
    <row r="605" spans="10:12" ht="13" x14ac:dyDescent="0.15">
      <c r="J605" s="23"/>
      <c r="L605" s="11"/>
    </row>
    <row r="606" spans="10:12" ht="13" x14ac:dyDescent="0.15">
      <c r="J606" s="23"/>
      <c r="L606" s="11"/>
    </row>
    <row r="607" spans="10:12" ht="13" x14ac:dyDescent="0.15">
      <c r="J607" s="23"/>
      <c r="L607" s="11"/>
    </row>
    <row r="608" spans="10:12" ht="13" x14ac:dyDescent="0.15">
      <c r="J608" s="23"/>
      <c r="L608" s="11"/>
    </row>
    <row r="609" spans="10:12" ht="13" x14ac:dyDescent="0.15">
      <c r="J609" s="23"/>
      <c r="L609" s="11"/>
    </row>
    <row r="610" spans="10:12" ht="13" x14ac:dyDescent="0.15">
      <c r="J610" s="23"/>
      <c r="L610" s="11"/>
    </row>
    <row r="611" spans="10:12" ht="13" x14ac:dyDescent="0.15">
      <c r="J611" s="23"/>
      <c r="L611" s="11"/>
    </row>
    <row r="612" spans="10:12" ht="13" x14ac:dyDescent="0.15">
      <c r="J612" s="23"/>
      <c r="L612" s="11"/>
    </row>
    <row r="613" spans="10:12" ht="13" x14ac:dyDescent="0.15">
      <c r="J613" s="23"/>
      <c r="L613" s="11"/>
    </row>
    <row r="614" spans="10:12" ht="13" x14ac:dyDescent="0.15">
      <c r="J614" s="23"/>
      <c r="L614" s="11"/>
    </row>
    <row r="615" spans="10:12" ht="13" x14ac:dyDescent="0.15">
      <c r="J615" s="23"/>
      <c r="L615" s="11"/>
    </row>
    <row r="616" spans="10:12" ht="13" x14ac:dyDescent="0.15">
      <c r="J616" s="23"/>
      <c r="L616" s="11"/>
    </row>
    <row r="617" spans="10:12" ht="13" x14ac:dyDescent="0.15">
      <c r="J617" s="23"/>
      <c r="L617" s="11"/>
    </row>
    <row r="618" spans="10:12" ht="13" x14ac:dyDescent="0.15">
      <c r="J618" s="23"/>
      <c r="L618" s="11"/>
    </row>
    <row r="619" spans="10:12" ht="13" x14ac:dyDescent="0.15">
      <c r="J619" s="23"/>
      <c r="L619" s="11"/>
    </row>
    <row r="620" spans="10:12" ht="13" x14ac:dyDescent="0.15">
      <c r="J620" s="23"/>
      <c r="L620" s="11"/>
    </row>
    <row r="621" spans="10:12" ht="13" x14ac:dyDescent="0.15">
      <c r="J621" s="23"/>
      <c r="L621" s="11"/>
    </row>
    <row r="622" spans="10:12" ht="13" x14ac:dyDescent="0.15">
      <c r="J622" s="23"/>
      <c r="L622" s="11"/>
    </row>
    <row r="623" spans="10:12" ht="13" x14ac:dyDescent="0.15">
      <c r="J623" s="23"/>
      <c r="L623" s="11"/>
    </row>
    <row r="624" spans="10:12" ht="13" x14ac:dyDescent="0.15">
      <c r="J624" s="23"/>
      <c r="L624" s="11"/>
    </row>
    <row r="625" spans="10:12" ht="13" x14ac:dyDescent="0.15">
      <c r="J625" s="23"/>
      <c r="L625" s="11"/>
    </row>
    <row r="626" spans="10:12" ht="13" x14ac:dyDescent="0.15">
      <c r="J626" s="23"/>
      <c r="L626" s="11"/>
    </row>
    <row r="627" spans="10:12" ht="13" x14ac:dyDescent="0.15">
      <c r="J627" s="23"/>
      <c r="L627" s="11"/>
    </row>
    <row r="628" spans="10:12" ht="13" x14ac:dyDescent="0.15">
      <c r="J628" s="23"/>
      <c r="L628" s="11"/>
    </row>
    <row r="629" spans="10:12" ht="13" x14ac:dyDescent="0.15">
      <c r="J629" s="23"/>
      <c r="L629" s="11"/>
    </row>
    <row r="630" spans="10:12" ht="13" x14ac:dyDescent="0.15">
      <c r="J630" s="23"/>
      <c r="L630" s="11"/>
    </row>
    <row r="631" spans="10:12" ht="13" x14ac:dyDescent="0.15">
      <c r="J631" s="23"/>
      <c r="L631" s="11"/>
    </row>
    <row r="632" spans="10:12" ht="13" x14ac:dyDescent="0.15">
      <c r="J632" s="23"/>
      <c r="L632" s="11"/>
    </row>
    <row r="633" spans="10:12" ht="13" x14ac:dyDescent="0.15">
      <c r="J633" s="23"/>
      <c r="L633" s="11"/>
    </row>
    <row r="634" spans="10:12" ht="13" x14ac:dyDescent="0.15">
      <c r="J634" s="23"/>
      <c r="L634" s="11"/>
    </row>
    <row r="635" spans="10:12" ht="13" x14ac:dyDescent="0.15">
      <c r="J635" s="23"/>
      <c r="L635" s="11"/>
    </row>
    <row r="636" spans="10:12" ht="13" x14ac:dyDescent="0.15">
      <c r="J636" s="23"/>
      <c r="L636" s="11"/>
    </row>
    <row r="637" spans="10:12" ht="13" x14ac:dyDescent="0.15">
      <c r="J637" s="23"/>
      <c r="L637" s="11"/>
    </row>
    <row r="638" spans="10:12" ht="13" x14ac:dyDescent="0.15">
      <c r="J638" s="23"/>
      <c r="L638" s="11"/>
    </row>
    <row r="639" spans="10:12" ht="13" x14ac:dyDescent="0.15">
      <c r="J639" s="23"/>
      <c r="L639" s="11"/>
    </row>
    <row r="640" spans="10:12" ht="13" x14ac:dyDescent="0.15">
      <c r="J640" s="23"/>
      <c r="L640" s="11"/>
    </row>
    <row r="641" spans="10:12" ht="13" x14ac:dyDescent="0.15">
      <c r="J641" s="23"/>
      <c r="L641" s="11"/>
    </row>
    <row r="642" spans="10:12" ht="13" x14ac:dyDescent="0.15">
      <c r="J642" s="23"/>
      <c r="L642" s="11"/>
    </row>
    <row r="643" spans="10:12" ht="13" x14ac:dyDescent="0.15">
      <c r="J643" s="23"/>
      <c r="L643" s="11"/>
    </row>
    <row r="644" spans="10:12" ht="13" x14ac:dyDescent="0.15">
      <c r="J644" s="23"/>
      <c r="L644" s="11"/>
    </row>
    <row r="645" spans="10:12" ht="13" x14ac:dyDescent="0.15">
      <c r="J645" s="23"/>
      <c r="L645" s="11"/>
    </row>
    <row r="646" spans="10:12" ht="13" x14ac:dyDescent="0.15">
      <c r="J646" s="23"/>
      <c r="L646" s="11"/>
    </row>
    <row r="647" spans="10:12" ht="13" x14ac:dyDescent="0.15">
      <c r="J647" s="23"/>
      <c r="L647" s="11"/>
    </row>
    <row r="648" spans="10:12" ht="13" x14ac:dyDescent="0.15">
      <c r="J648" s="23"/>
      <c r="L648" s="11"/>
    </row>
    <row r="649" spans="10:12" ht="13" x14ac:dyDescent="0.15">
      <c r="J649" s="23"/>
      <c r="L649" s="11"/>
    </row>
    <row r="650" spans="10:12" ht="13" x14ac:dyDescent="0.15">
      <c r="J650" s="23"/>
      <c r="L650" s="11"/>
    </row>
    <row r="651" spans="10:12" ht="13" x14ac:dyDescent="0.15">
      <c r="J651" s="23"/>
      <c r="L651" s="11"/>
    </row>
    <row r="652" spans="10:12" ht="13" x14ac:dyDescent="0.15">
      <c r="J652" s="23"/>
      <c r="L652" s="11"/>
    </row>
    <row r="653" spans="10:12" ht="13" x14ac:dyDescent="0.15">
      <c r="J653" s="23"/>
      <c r="L653" s="11"/>
    </row>
    <row r="654" spans="10:12" ht="13" x14ac:dyDescent="0.15">
      <c r="J654" s="23"/>
      <c r="L654" s="11"/>
    </row>
    <row r="655" spans="10:12" ht="13" x14ac:dyDescent="0.15">
      <c r="J655" s="23"/>
      <c r="L655" s="11"/>
    </row>
    <row r="656" spans="10:12" ht="13" x14ac:dyDescent="0.15">
      <c r="J656" s="23"/>
      <c r="L656" s="11"/>
    </row>
    <row r="657" spans="10:12" ht="13" x14ac:dyDescent="0.15">
      <c r="J657" s="23"/>
      <c r="L657" s="11"/>
    </row>
    <row r="658" spans="10:12" ht="13" x14ac:dyDescent="0.15">
      <c r="J658" s="23"/>
      <c r="L658" s="11"/>
    </row>
    <row r="659" spans="10:12" ht="13" x14ac:dyDescent="0.15">
      <c r="J659" s="23"/>
      <c r="L659" s="11"/>
    </row>
    <row r="660" spans="10:12" ht="13" x14ac:dyDescent="0.15">
      <c r="J660" s="23"/>
      <c r="L660" s="11"/>
    </row>
    <row r="661" spans="10:12" ht="13" x14ac:dyDescent="0.15">
      <c r="J661" s="23"/>
      <c r="L661" s="11"/>
    </row>
    <row r="662" spans="10:12" ht="13" x14ac:dyDescent="0.15">
      <c r="J662" s="23"/>
      <c r="L662" s="11"/>
    </row>
    <row r="663" spans="10:12" ht="13" x14ac:dyDescent="0.15">
      <c r="J663" s="23"/>
      <c r="L663" s="11"/>
    </row>
    <row r="664" spans="10:12" ht="13" x14ac:dyDescent="0.15">
      <c r="J664" s="23"/>
      <c r="L664" s="11"/>
    </row>
    <row r="665" spans="10:12" ht="13" x14ac:dyDescent="0.15">
      <c r="J665" s="23"/>
      <c r="L665" s="11"/>
    </row>
    <row r="666" spans="10:12" ht="13" x14ac:dyDescent="0.15">
      <c r="J666" s="23"/>
      <c r="L666" s="11"/>
    </row>
    <row r="667" spans="10:12" ht="13" x14ac:dyDescent="0.15">
      <c r="J667" s="23"/>
      <c r="L667" s="11"/>
    </row>
    <row r="668" spans="10:12" ht="13" x14ac:dyDescent="0.15">
      <c r="J668" s="23"/>
      <c r="L668" s="11"/>
    </row>
    <row r="669" spans="10:12" ht="13" x14ac:dyDescent="0.15">
      <c r="J669" s="23"/>
      <c r="L669" s="11"/>
    </row>
    <row r="670" spans="10:12" ht="13" x14ac:dyDescent="0.15">
      <c r="J670" s="23"/>
      <c r="L670" s="11"/>
    </row>
    <row r="671" spans="10:12" ht="13" x14ac:dyDescent="0.15">
      <c r="J671" s="23"/>
      <c r="L671" s="11"/>
    </row>
    <row r="672" spans="10:12" ht="13" x14ac:dyDescent="0.15">
      <c r="J672" s="23"/>
      <c r="L672" s="11"/>
    </row>
    <row r="673" spans="10:12" ht="13" x14ac:dyDescent="0.15">
      <c r="J673" s="23"/>
      <c r="L673" s="11"/>
    </row>
    <row r="674" spans="10:12" ht="13" x14ac:dyDescent="0.15">
      <c r="J674" s="23"/>
      <c r="L674" s="11"/>
    </row>
    <row r="675" spans="10:12" ht="13" x14ac:dyDescent="0.15">
      <c r="J675" s="23"/>
      <c r="L675" s="11"/>
    </row>
    <row r="676" spans="10:12" ht="13" x14ac:dyDescent="0.15">
      <c r="J676" s="23"/>
      <c r="L676" s="11"/>
    </row>
    <row r="677" spans="10:12" ht="13" x14ac:dyDescent="0.15">
      <c r="J677" s="23"/>
      <c r="L677" s="11"/>
    </row>
    <row r="678" spans="10:12" ht="13" x14ac:dyDescent="0.15">
      <c r="J678" s="23"/>
      <c r="L678" s="11"/>
    </row>
    <row r="679" spans="10:12" ht="13" x14ac:dyDescent="0.15">
      <c r="J679" s="23"/>
      <c r="L679" s="11"/>
    </row>
    <row r="680" spans="10:12" ht="13" x14ac:dyDescent="0.15">
      <c r="J680" s="23"/>
      <c r="L680" s="11"/>
    </row>
    <row r="681" spans="10:12" ht="13" x14ac:dyDescent="0.15">
      <c r="J681" s="23"/>
      <c r="L681" s="11"/>
    </row>
    <row r="682" spans="10:12" ht="13" x14ac:dyDescent="0.15">
      <c r="J682" s="23"/>
      <c r="L682" s="11"/>
    </row>
    <row r="683" spans="10:12" ht="13" x14ac:dyDescent="0.15">
      <c r="J683" s="23"/>
      <c r="L683" s="11"/>
    </row>
    <row r="684" spans="10:12" ht="13" x14ac:dyDescent="0.15">
      <c r="J684" s="23"/>
      <c r="L684" s="11"/>
    </row>
    <row r="685" spans="10:12" ht="13" x14ac:dyDescent="0.15">
      <c r="J685" s="23"/>
      <c r="L685" s="11"/>
    </row>
    <row r="686" spans="10:12" ht="13" x14ac:dyDescent="0.15">
      <c r="J686" s="23"/>
      <c r="L686" s="11"/>
    </row>
    <row r="687" spans="10:12" ht="13" x14ac:dyDescent="0.15">
      <c r="J687" s="23"/>
      <c r="L687" s="11"/>
    </row>
    <row r="688" spans="10:12" ht="13" x14ac:dyDescent="0.15">
      <c r="J688" s="23"/>
      <c r="L688" s="11"/>
    </row>
    <row r="689" spans="10:12" ht="13" x14ac:dyDescent="0.15">
      <c r="J689" s="23"/>
      <c r="L689" s="11"/>
    </row>
    <row r="690" spans="10:12" ht="13" x14ac:dyDescent="0.15">
      <c r="J690" s="23"/>
      <c r="L690" s="11"/>
    </row>
    <row r="691" spans="10:12" ht="13" x14ac:dyDescent="0.15">
      <c r="J691" s="23"/>
      <c r="L691" s="11"/>
    </row>
    <row r="692" spans="10:12" ht="13" x14ac:dyDescent="0.15">
      <c r="J692" s="23"/>
      <c r="L692" s="11"/>
    </row>
    <row r="693" spans="10:12" ht="13" x14ac:dyDescent="0.15">
      <c r="J693" s="23"/>
      <c r="L693" s="11"/>
    </row>
    <row r="694" spans="10:12" ht="13" x14ac:dyDescent="0.15">
      <c r="J694" s="23"/>
      <c r="L694" s="11"/>
    </row>
    <row r="695" spans="10:12" ht="13" x14ac:dyDescent="0.15">
      <c r="J695" s="23"/>
      <c r="L695" s="11"/>
    </row>
    <row r="696" spans="10:12" ht="13" x14ac:dyDescent="0.15">
      <c r="J696" s="23"/>
      <c r="L696" s="11"/>
    </row>
    <row r="697" spans="10:12" ht="13" x14ac:dyDescent="0.15">
      <c r="J697" s="23"/>
      <c r="L697" s="11"/>
    </row>
    <row r="698" spans="10:12" ht="13" x14ac:dyDescent="0.15">
      <c r="J698" s="23"/>
      <c r="L698" s="11"/>
    </row>
    <row r="699" spans="10:12" ht="13" x14ac:dyDescent="0.15">
      <c r="J699" s="23"/>
      <c r="L699" s="11"/>
    </row>
    <row r="700" spans="10:12" ht="13" x14ac:dyDescent="0.15">
      <c r="J700" s="23"/>
      <c r="L700" s="11"/>
    </row>
    <row r="701" spans="10:12" ht="13" x14ac:dyDescent="0.15">
      <c r="J701" s="23"/>
      <c r="L701" s="11"/>
    </row>
    <row r="702" spans="10:12" ht="13" x14ac:dyDescent="0.15">
      <c r="J702" s="23"/>
      <c r="L702" s="11"/>
    </row>
    <row r="703" spans="10:12" ht="13" x14ac:dyDescent="0.15">
      <c r="J703" s="23"/>
      <c r="L703" s="11"/>
    </row>
    <row r="704" spans="10:12" ht="13" x14ac:dyDescent="0.15">
      <c r="J704" s="23"/>
      <c r="L704" s="11"/>
    </row>
    <row r="705" spans="10:12" ht="13" x14ac:dyDescent="0.15">
      <c r="J705" s="23"/>
      <c r="L705" s="11"/>
    </row>
    <row r="706" spans="10:12" ht="13" x14ac:dyDescent="0.15">
      <c r="J706" s="23"/>
      <c r="L706" s="11"/>
    </row>
    <row r="707" spans="10:12" ht="13" x14ac:dyDescent="0.15">
      <c r="J707" s="23"/>
      <c r="L707" s="11"/>
    </row>
    <row r="708" spans="10:12" ht="13" x14ac:dyDescent="0.15">
      <c r="J708" s="23"/>
      <c r="L708" s="11"/>
    </row>
    <row r="709" spans="10:12" ht="13" x14ac:dyDescent="0.15">
      <c r="J709" s="23"/>
      <c r="L709" s="11"/>
    </row>
    <row r="710" spans="10:12" ht="13" x14ac:dyDescent="0.15">
      <c r="J710" s="23"/>
      <c r="L710" s="11"/>
    </row>
    <row r="711" spans="10:12" ht="13" x14ac:dyDescent="0.15">
      <c r="J711" s="23"/>
      <c r="L711" s="11"/>
    </row>
    <row r="712" spans="10:12" ht="13" x14ac:dyDescent="0.15">
      <c r="J712" s="23"/>
      <c r="L712" s="11"/>
    </row>
    <row r="713" spans="10:12" ht="13" x14ac:dyDescent="0.15">
      <c r="J713" s="23"/>
      <c r="L713" s="11"/>
    </row>
    <row r="714" spans="10:12" ht="13" x14ac:dyDescent="0.15">
      <c r="J714" s="23"/>
      <c r="L714" s="11"/>
    </row>
    <row r="715" spans="10:12" ht="13" x14ac:dyDescent="0.15">
      <c r="J715" s="23"/>
      <c r="L715" s="11"/>
    </row>
    <row r="716" spans="10:12" ht="13" x14ac:dyDescent="0.15">
      <c r="J716" s="23"/>
      <c r="L716" s="11"/>
    </row>
    <row r="717" spans="10:12" ht="13" x14ac:dyDescent="0.15">
      <c r="J717" s="23"/>
      <c r="L717" s="11"/>
    </row>
    <row r="718" spans="10:12" ht="13" x14ac:dyDescent="0.15">
      <c r="J718" s="23"/>
      <c r="L718" s="11"/>
    </row>
    <row r="719" spans="10:12" ht="13" x14ac:dyDescent="0.15">
      <c r="J719" s="23"/>
      <c r="L719" s="11"/>
    </row>
    <row r="720" spans="10:12" ht="13" x14ac:dyDescent="0.15">
      <c r="J720" s="23"/>
      <c r="L720" s="11"/>
    </row>
    <row r="721" spans="10:12" ht="13" x14ac:dyDescent="0.15">
      <c r="J721" s="23"/>
      <c r="L721" s="11"/>
    </row>
    <row r="722" spans="10:12" ht="13" x14ac:dyDescent="0.15">
      <c r="J722" s="23"/>
      <c r="L722" s="11"/>
    </row>
    <row r="723" spans="10:12" ht="13" x14ac:dyDescent="0.15">
      <c r="J723" s="23"/>
      <c r="L723" s="11"/>
    </row>
    <row r="724" spans="10:12" ht="13" x14ac:dyDescent="0.15">
      <c r="J724" s="23"/>
      <c r="L724" s="11"/>
    </row>
    <row r="725" spans="10:12" ht="13" x14ac:dyDescent="0.15">
      <c r="J725" s="23"/>
      <c r="L725" s="11"/>
    </row>
    <row r="726" spans="10:12" ht="13" x14ac:dyDescent="0.15">
      <c r="J726" s="23"/>
      <c r="L726" s="11"/>
    </row>
    <row r="727" spans="10:12" ht="13" x14ac:dyDescent="0.15">
      <c r="J727" s="23"/>
      <c r="L727" s="11"/>
    </row>
    <row r="728" spans="10:12" ht="13" x14ac:dyDescent="0.15">
      <c r="J728" s="23"/>
      <c r="L728" s="11"/>
    </row>
    <row r="729" spans="10:12" ht="13" x14ac:dyDescent="0.15">
      <c r="J729" s="23"/>
      <c r="L729" s="11"/>
    </row>
    <row r="730" spans="10:12" ht="13" x14ac:dyDescent="0.15">
      <c r="J730" s="23"/>
      <c r="L730" s="11"/>
    </row>
    <row r="731" spans="10:12" ht="13" x14ac:dyDescent="0.15">
      <c r="J731" s="23"/>
      <c r="L731" s="11"/>
    </row>
    <row r="732" spans="10:12" ht="13" x14ac:dyDescent="0.15">
      <c r="J732" s="23"/>
      <c r="L732" s="11"/>
    </row>
    <row r="733" spans="10:12" ht="13" x14ac:dyDescent="0.15">
      <c r="J733" s="23"/>
      <c r="L733" s="11"/>
    </row>
    <row r="734" spans="10:12" ht="13" x14ac:dyDescent="0.15">
      <c r="J734" s="23"/>
      <c r="L734" s="11"/>
    </row>
    <row r="735" spans="10:12" ht="13" x14ac:dyDescent="0.15">
      <c r="J735" s="23"/>
      <c r="L735" s="11"/>
    </row>
    <row r="736" spans="10:12" ht="13" x14ac:dyDescent="0.15">
      <c r="J736" s="23"/>
      <c r="L736" s="11"/>
    </row>
    <row r="737" spans="10:12" ht="13" x14ac:dyDescent="0.15">
      <c r="J737" s="23"/>
      <c r="L737" s="11"/>
    </row>
    <row r="738" spans="10:12" ht="13" x14ac:dyDescent="0.15">
      <c r="J738" s="23"/>
      <c r="L738" s="11"/>
    </row>
    <row r="739" spans="10:12" ht="13" x14ac:dyDescent="0.15">
      <c r="J739" s="23"/>
      <c r="L739" s="11"/>
    </row>
    <row r="740" spans="10:12" ht="13" x14ac:dyDescent="0.15">
      <c r="J740" s="23"/>
      <c r="L740" s="11"/>
    </row>
    <row r="741" spans="10:12" ht="13" x14ac:dyDescent="0.15">
      <c r="J741" s="23"/>
      <c r="L741" s="11"/>
    </row>
    <row r="742" spans="10:12" ht="13" x14ac:dyDescent="0.15">
      <c r="J742" s="23"/>
      <c r="L742" s="11"/>
    </row>
    <row r="743" spans="10:12" ht="13" x14ac:dyDescent="0.15">
      <c r="J743" s="23"/>
      <c r="L743" s="11"/>
    </row>
    <row r="744" spans="10:12" ht="13" x14ac:dyDescent="0.15">
      <c r="J744" s="23"/>
      <c r="L744" s="11"/>
    </row>
    <row r="745" spans="10:12" ht="13" x14ac:dyDescent="0.15">
      <c r="J745" s="23"/>
      <c r="L745" s="11"/>
    </row>
    <row r="746" spans="10:12" ht="13" x14ac:dyDescent="0.15">
      <c r="J746" s="23"/>
      <c r="L746" s="11"/>
    </row>
    <row r="747" spans="10:12" ht="13" x14ac:dyDescent="0.15">
      <c r="J747" s="23"/>
      <c r="L747" s="11"/>
    </row>
    <row r="748" spans="10:12" ht="13" x14ac:dyDescent="0.15">
      <c r="J748" s="23"/>
      <c r="L748" s="11"/>
    </row>
    <row r="749" spans="10:12" ht="13" x14ac:dyDescent="0.15">
      <c r="J749" s="23"/>
      <c r="L749" s="11"/>
    </row>
    <row r="750" spans="10:12" ht="13" x14ac:dyDescent="0.15">
      <c r="J750" s="23"/>
      <c r="L750" s="11"/>
    </row>
    <row r="751" spans="10:12" ht="13" x14ac:dyDescent="0.15">
      <c r="J751" s="23"/>
      <c r="L751" s="11"/>
    </row>
    <row r="752" spans="10:12" ht="13" x14ac:dyDescent="0.15">
      <c r="J752" s="23"/>
      <c r="L752" s="11"/>
    </row>
    <row r="753" spans="10:12" ht="13" x14ac:dyDescent="0.15">
      <c r="J753" s="23"/>
      <c r="L753" s="11"/>
    </row>
    <row r="754" spans="10:12" ht="13" x14ac:dyDescent="0.15">
      <c r="J754" s="23"/>
      <c r="L754" s="11"/>
    </row>
    <row r="755" spans="10:12" ht="13" x14ac:dyDescent="0.15">
      <c r="J755" s="23"/>
      <c r="L755" s="11"/>
    </row>
    <row r="756" spans="10:12" ht="13" x14ac:dyDescent="0.15">
      <c r="J756" s="23"/>
      <c r="L756" s="11"/>
    </row>
    <row r="757" spans="10:12" ht="13" x14ac:dyDescent="0.15">
      <c r="J757" s="23"/>
      <c r="L757" s="11"/>
    </row>
    <row r="758" spans="10:12" ht="13" x14ac:dyDescent="0.15">
      <c r="J758" s="23"/>
      <c r="L758" s="11"/>
    </row>
    <row r="759" spans="10:12" ht="13" x14ac:dyDescent="0.15">
      <c r="J759" s="23"/>
      <c r="L759" s="11"/>
    </row>
    <row r="760" spans="10:12" ht="13" x14ac:dyDescent="0.15">
      <c r="J760" s="23"/>
      <c r="L760" s="11"/>
    </row>
    <row r="761" spans="10:12" ht="13" x14ac:dyDescent="0.15">
      <c r="J761" s="23"/>
      <c r="L761" s="11"/>
    </row>
    <row r="762" spans="10:12" ht="13" x14ac:dyDescent="0.15">
      <c r="J762" s="23"/>
      <c r="L762" s="11"/>
    </row>
    <row r="763" spans="10:12" ht="13" x14ac:dyDescent="0.15">
      <c r="J763" s="23"/>
      <c r="L763" s="11"/>
    </row>
    <row r="764" spans="10:12" ht="13" x14ac:dyDescent="0.15">
      <c r="J764" s="23"/>
      <c r="L764" s="11"/>
    </row>
    <row r="765" spans="10:12" ht="13" x14ac:dyDescent="0.15">
      <c r="J765" s="23"/>
      <c r="L765" s="11"/>
    </row>
    <row r="766" spans="10:12" ht="13" x14ac:dyDescent="0.15">
      <c r="J766" s="23"/>
      <c r="L766" s="11"/>
    </row>
    <row r="767" spans="10:12" ht="13" x14ac:dyDescent="0.15">
      <c r="J767" s="23"/>
      <c r="L767" s="11"/>
    </row>
    <row r="768" spans="10:12" ht="13" x14ac:dyDescent="0.15">
      <c r="J768" s="23"/>
      <c r="L768" s="11"/>
    </row>
    <row r="769" spans="10:12" ht="13" x14ac:dyDescent="0.15">
      <c r="J769" s="23"/>
      <c r="L769" s="11"/>
    </row>
    <row r="770" spans="10:12" ht="13" x14ac:dyDescent="0.15">
      <c r="J770" s="23"/>
      <c r="L770" s="11"/>
    </row>
    <row r="771" spans="10:12" ht="13" x14ac:dyDescent="0.15">
      <c r="J771" s="23"/>
      <c r="L771" s="11"/>
    </row>
    <row r="772" spans="10:12" ht="13" x14ac:dyDescent="0.15">
      <c r="J772" s="23"/>
      <c r="L772" s="11"/>
    </row>
    <row r="773" spans="10:12" ht="13" x14ac:dyDescent="0.15">
      <c r="J773" s="23"/>
      <c r="L773" s="11"/>
    </row>
    <row r="774" spans="10:12" ht="13" x14ac:dyDescent="0.15">
      <c r="J774" s="23"/>
      <c r="L774" s="11"/>
    </row>
    <row r="775" spans="10:12" ht="13" x14ac:dyDescent="0.15">
      <c r="J775" s="23"/>
      <c r="L775" s="11"/>
    </row>
    <row r="776" spans="10:12" ht="13" x14ac:dyDescent="0.15">
      <c r="J776" s="23"/>
      <c r="L776" s="11"/>
    </row>
    <row r="777" spans="10:12" ht="13" x14ac:dyDescent="0.15">
      <c r="J777" s="23"/>
      <c r="L777" s="11"/>
    </row>
    <row r="778" spans="10:12" ht="13" x14ac:dyDescent="0.15">
      <c r="J778" s="23"/>
      <c r="L778" s="11"/>
    </row>
    <row r="779" spans="10:12" ht="13" x14ac:dyDescent="0.15">
      <c r="J779" s="23"/>
      <c r="L779" s="11"/>
    </row>
    <row r="780" spans="10:12" ht="13" x14ac:dyDescent="0.15">
      <c r="J780" s="23"/>
      <c r="L780" s="11"/>
    </row>
    <row r="781" spans="10:12" ht="13" x14ac:dyDescent="0.15">
      <c r="J781" s="23"/>
      <c r="L781" s="11"/>
    </row>
    <row r="782" spans="10:12" ht="13" x14ac:dyDescent="0.15">
      <c r="J782" s="23"/>
      <c r="L782" s="11"/>
    </row>
    <row r="783" spans="10:12" ht="13" x14ac:dyDescent="0.15">
      <c r="J783" s="23"/>
      <c r="L783" s="11"/>
    </row>
    <row r="784" spans="10:12" ht="13" x14ac:dyDescent="0.15">
      <c r="J784" s="23"/>
      <c r="L784" s="11"/>
    </row>
    <row r="785" spans="10:12" ht="13" x14ac:dyDescent="0.15">
      <c r="J785" s="23"/>
      <c r="L785" s="11"/>
    </row>
    <row r="786" spans="10:12" ht="13" x14ac:dyDescent="0.15">
      <c r="J786" s="23"/>
      <c r="L786" s="11"/>
    </row>
    <row r="787" spans="10:12" ht="13" x14ac:dyDescent="0.15">
      <c r="J787" s="23"/>
      <c r="L787" s="11"/>
    </row>
    <row r="788" spans="10:12" ht="13" x14ac:dyDescent="0.15">
      <c r="J788" s="23"/>
      <c r="L788" s="11"/>
    </row>
    <row r="789" spans="10:12" ht="13" x14ac:dyDescent="0.15">
      <c r="J789" s="23"/>
      <c r="L789" s="11"/>
    </row>
    <row r="790" spans="10:12" ht="13" x14ac:dyDescent="0.15">
      <c r="J790" s="23"/>
      <c r="L790" s="11"/>
    </row>
    <row r="791" spans="10:12" ht="13" x14ac:dyDescent="0.15">
      <c r="J791" s="23"/>
      <c r="L791" s="11"/>
    </row>
    <row r="792" spans="10:12" ht="13" x14ac:dyDescent="0.15">
      <c r="J792" s="23"/>
      <c r="L792" s="11"/>
    </row>
    <row r="793" spans="10:12" ht="13" x14ac:dyDescent="0.15">
      <c r="J793" s="23"/>
      <c r="L793" s="11"/>
    </row>
    <row r="794" spans="10:12" ht="13" x14ac:dyDescent="0.15">
      <c r="J794" s="23"/>
      <c r="L794" s="11"/>
    </row>
    <row r="795" spans="10:12" ht="13" x14ac:dyDescent="0.15">
      <c r="J795" s="23"/>
      <c r="L795" s="11"/>
    </row>
    <row r="796" spans="10:12" ht="13" x14ac:dyDescent="0.15">
      <c r="J796" s="23"/>
      <c r="L796" s="11"/>
    </row>
    <row r="797" spans="10:12" ht="13" x14ac:dyDescent="0.15">
      <c r="J797" s="23"/>
      <c r="L797" s="11"/>
    </row>
    <row r="798" spans="10:12" ht="13" x14ac:dyDescent="0.15">
      <c r="J798" s="23"/>
      <c r="L798" s="11"/>
    </row>
    <row r="799" spans="10:12" ht="13" x14ac:dyDescent="0.15">
      <c r="J799" s="23"/>
      <c r="L799" s="11"/>
    </row>
    <row r="800" spans="10:12" ht="13" x14ac:dyDescent="0.15">
      <c r="J800" s="23"/>
      <c r="L800" s="11"/>
    </row>
    <row r="801" spans="10:12" ht="13" x14ac:dyDescent="0.15">
      <c r="J801" s="23"/>
      <c r="L801" s="11"/>
    </row>
    <row r="802" spans="10:12" ht="13" x14ac:dyDescent="0.15">
      <c r="J802" s="23"/>
      <c r="L802" s="11"/>
    </row>
    <row r="803" spans="10:12" ht="13" x14ac:dyDescent="0.15">
      <c r="J803" s="23"/>
      <c r="L803" s="11"/>
    </row>
    <row r="804" spans="10:12" ht="13" x14ac:dyDescent="0.15">
      <c r="J804" s="23"/>
      <c r="L804" s="11"/>
    </row>
    <row r="805" spans="10:12" ht="13" x14ac:dyDescent="0.15">
      <c r="J805" s="23"/>
      <c r="L805" s="11"/>
    </row>
    <row r="806" spans="10:12" ht="13" x14ac:dyDescent="0.15">
      <c r="J806" s="23"/>
      <c r="L806" s="11"/>
    </row>
    <row r="807" spans="10:12" ht="13" x14ac:dyDescent="0.15">
      <c r="J807" s="23"/>
      <c r="L807" s="11"/>
    </row>
    <row r="808" spans="10:12" ht="13" x14ac:dyDescent="0.15">
      <c r="J808" s="23"/>
      <c r="L808" s="11"/>
    </row>
    <row r="809" spans="10:12" ht="13" x14ac:dyDescent="0.15">
      <c r="J809" s="23"/>
      <c r="L809" s="11"/>
    </row>
    <row r="810" spans="10:12" ht="13" x14ac:dyDescent="0.15">
      <c r="J810" s="23"/>
      <c r="L810" s="11"/>
    </row>
    <row r="811" spans="10:12" ht="13" x14ac:dyDescent="0.15">
      <c r="J811" s="23"/>
      <c r="L811" s="11"/>
    </row>
    <row r="812" spans="10:12" ht="13" x14ac:dyDescent="0.15">
      <c r="J812" s="23"/>
      <c r="L812" s="11"/>
    </row>
    <row r="813" spans="10:12" ht="13" x14ac:dyDescent="0.15">
      <c r="J813" s="23"/>
      <c r="L813" s="11"/>
    </row>
    <row r="814" spans="10:12" ht="13" x14ac:dyDescent="0.15">
      <c r="J814" s="23"/>
      <c r="L814" s="11"/>
    </row>
    <row r="815" spans="10:12" ht="13" x14ac:dyDescent="0.15">
      <c r="J815" s="23"/>
      <c r="L815" s="11"/>
    </row>
    <row r="816" spans="10:12" ht="13" x14ac:dyDescent="0.15">
      <c r="J816" s="23"/>
      <c r="L816" s="11"/>
    </row>
    <row r="817" spans="10:12" ht="13" x14ac:dyDescent="0.15">
      <c r="J817" s="23"/>
      <c r="L817" s="11"/>
    </row>
    <row r="818" spans="10:12" ht="13" x14ac:dyDescent="0.15">
      <c r="J818" s="23"/>
      <c r="L818" s="11"/>
    </row>
    <row r="819" spans="10:12" ht="13" x14ac:dyDescent="0.15">
      <c r="J819" s="23"/>
      <c r="L819" s="11"/>
    </row>
    <row r="820" spans="10:12" ht="13" x14ac:dyDescent="0.15">
      <c r="J820" s="23"/>
      <c r="L820" s="11"/>
    </row>
    <row r="821" spans="10:12" ht="13" x14ac:dyDescent="0.15">
      <c r="J821" s="23"/>
      <c r="L821" s="11"/>
    </row>
    <row r="822" spans="10:12" ht="13" x14ac:dyDescent="0.15">
      <c r="J822" s="23"/>
      <c r="L822" s="11"/>
    </row>
    <row r="823" spans="10:12" ht="13" x14ac:dyDescent="0.15">
      <c r="J823" s="23"/>
      <c r="L823" s="11"/>
    </row>
    <row r="824" spans="10:12" ht="13" x14ac:dyDescent="0.15">
      <c r="J824" s="23"/>
      <c r="L824" s="11"/>
    </row>
    <row r="825" spans="10:12" ht="13" x14ac:dyDescent="0.15">
      <c r="J825" s="23"/>
      <c r="L825" s="11"/>
    </row>
    <row r="826" spans="10:12" ht="13" x14ac:dyDescent="0.15">
      <c r="J826" s="23"/>
      <c r="L826" s="11"/>
    </row>
    <row r="827" spans="10:12" ht="13" x14ac:dyDescent="0.15">
      <c r="J827" s="23"/>
      <c r="L827" s="11"/>
    </row>
    <row r="828" spans="10:12" ht="13" x14ac:dyDescent="0.15">
      <c r="J828" s="23"/>
      <c r="L828" s="11"/>
    </row>
    <row r="829" spans="10:12" ht="13" x14ac:dyDescent="0.15">
      <c r="J829" s="23"/>
      <c r="L829" s="11"/>
    </row>
    <row r="830" spans="10:12" ht="13" x14ac:dyDescent="0.15">
      <c r="J830" s="23"/>
      <c r="L830" s="11"/>
    </row>
    <row r="831" spans="10:12" ht="13" x14ac:dyDescent="0.15">
      <c r="J831" s="23"/>
      <c r="L831" s="11"/>
    </row>
    <row r="832" spans="10:12" ht="13" x14ac:dyDescent="0.15">
      <c r="J832" s="23"/>
      <c r="L832" s="11"/>
    </row>
    <row r="833" spans="10:12" ht="13" x14ac:dyDescent="0.15">
      <c r="J833" s="23"/>
      <c r="L833" s="11"/>
    </row>
    <row r="834" spans="10:12" ht="13" x14ac:dyDescent="0.15">
      <c r="J834" s="23"/>
      <c r="L834" s="11"/>
    </row>
    <row r="835" spans="10:12" ht="13" x14ac:dyDescent="0.15">
      <c r="J835" s="23"/>
      <c r="L835" s="11"/>
    </row>
    <row r="836" spans="10:12" ht="13" x14ac:dyDescent="0.15">
      <c r="J836" s="23"/>
      <c r="L836" s="11"/>
    </row>
    <row r="837" spans="10:12" ht="13" x14ac:dyDescent="0.15">
      <c r="J837" s="23"/>
      <c r="L837" s="11"/>
    </row>
    <row r="838" spans="10:12" ht="13" x14ac:dyDescent="0.15">
      <c r="J838" s="23"/>
      <c r="L838" s="11"/>
    </row>
    <row r="839" spans="10:12" ht="13" x14ac:dyDescent="0.15">
      <c r="J839" s="23"/>
      <c r="L839" s="11"/>
    </row>
    <row r="840" spans="10:12" ht="13" x14ac:dyDescent="0.15">
      <c r="J840" s="23"/>
      <c r="L840" s="11"/>
    </row>
    <row r="841" spans="10:12" ht="13" x14ac:dyDescent="0.15">
      <c r="J841" s="23"/>
      <c r="L841" s="11"/>
    </row>
    <row r="842" spans="10:12" ht="13" x14ac:dyDescent="0.15">
      <c r="J842" s="23"/>
      <c r="L842" s="11"/>
    </row>
    <row r="843" spans="10:12" ht="13" x14ac:dyDescent="0.15">
      <c r="J843" s="23"/>
      <c r="L843" s="11"/>
    </row>
    <row r="844" spans="10:12" ht="13" x14ac:dyDescent="0.15">
      <c r="J844" s="23"/>
      <c r="L844" s="11"/>
    </row>
    <row r="845" spans="10:12" ht="13" x14ac:dyDescent="0.15">
      <c r="J845" s="23"/>
      <c r="L845" s="11"/>
    </row>
    <row r="846" spans="10:12" ht="13" x14ac:dyDescent="0.15">
      <c r="J846" s="23"/>
      <c r="L846" s="11"/>
    </row>
    <row r="847" spans="10:12" ht="13" x14ac:dyDescent="0.15">
      <c r="J847" s="23"/>
      <c r="L847" s="11"/>
    </row>
    <row r="848" spans="10:12" ht="13" x14ac:dyDescent="0.15">
      <c r="J848" s="23"/>
      <c r="L848" s="11"/>
    </row>
    <row r="849" spans="10:12" ht="13" x14ac:dyDescent="0.15">
      <c r="J849" s="23"/>
      <c r="L849" s="11"/>
    </row>
    <row r="850" spans="10:12" ht="13" x14ac:dyDescent="0.15">
      <c r="J850" s="23"/>
      <c r="L850" s="11"/>
    </row>
    <row r="851" spans="10:12" ht="13" x14ac:dyDescent="0.15">
      <c r="J851" s="23"/>
      <c r="L851" s="11"/>
    </row>
    <row r="852" spans="10:12" ht="13" x14ac:dyDescent="0.15">
      <c r="J852" s="23"/>
      <c r="L852" s="11"/>
    </row>
    <row r="853" spans="10:12" ht="13" x14ac:dyDescent="0.15">
      <c r="J853" s="23"/>
      <c r="L853" s="11"/>
    </row>
    <row r="854" spans="10:12" ht="13" x14ac:dyDescent="0.15">
      <c r="J854" s="23"/>
      <c r="L854" s="11"/>
    </row>
    <row r="855" spans="10:12" ht="13" x14ac:dyDescent="0.15">
      <c r="J855" s="23"/>
      <c r="L855" s="11"/>
    </row>
    <row r="856" spans="10:12" ht="13" x14ac:dyDescent="0.15">
      <c r="J856" s="23"/>
      <c r="L856" s="11"/>
    </row>
    <row r="857" spans="10:12" ht="13" x14ac:dyDescent="0.15">
      <c r="J857" s="23"/>
      <c r="L857" s="11"/>
    </row>
    <row r="858" spans="10:12" ht="13" x14ac:dyDescent="0.15">
      <c r="J858" s="23"/>
      <c r="L858" s="11"/>
    </row>
    <row r="859" spans="10:12" ht="13" x14ac:dyDescent="0.15">
      <c r="J859" s="23"/>
      <c r="L859" s="11"/>
    </row>
    <row r="860" spans="10:12" ht="13" x14ac:dyDescent="0.15">
      <c r="J860" s="23"/>
      <c r="L860" s="11"/>
    </row>
    <row r="861" spans="10:12" ht="13" x14ac:dyDescent="0.15">
      <c r="J861" s="23"/>
      <c r="L861" s="11"/>
    </row>
    <row r="862" spans="10:12" ht="13" x14ac:dyDescent="0.15">
      <c r="J862" s="23"/>
      <c r="L862" s="11"/>
    </row>
    <row r="863" spans="10:12" ht="13" x14ac:dyDescent="0.15">
      <c r="J863" s="23"/>
      <c r="L863" s="11"/>
    </row>
    <row r="864" spans="10:12" ht="13" x14ac:dyDescent="0.15">
      <c r="J864" s="23"/>
      <c r="L864" s="11"/>
    </row>
    <row r="865" spans="10:12" ht="13" x14ac:dyDescent="0.15">
      <c r="J865" s="23"/>
      <c r="L865" s="11"/>
    </row>
    <row r="866" spans="10:12" ht="13" x14ac:dyDescent="0.15">
      <c r="J866" s="23"/>
      <c r="L866" s="11"/>
    </row>
    <row r="867" spans="10:12" ht="13" x14ac:dyDescent="0.15">
      <c r="J867" s="23"/>
      <c r="L867" s="11"/>
    </row>
    <row r="868" spans="10:12" ht="13" x14ac:dyDescent="0.15">
      <c r="J868" s="23"/>
      <c r="L868" s="11"/>
    </row>
    <row r="869" spans="10:12" ht="13" x14ac:dyDescent="0.15">
      <c r="J869" s="23"/>
      <c r="L869" s="11"/>
    </row>
    <row r="870" spans="10:12" ht="13" x14ac:dyDescent="0.15">
      <c r="J870" s="23"/>
      <c r="L870" s="11"/>
    </row>
    <row r="871" spans="10:12" ht="13" x14ac:dyDescent="0.15">
      <c r="J871" s="23"/>
      <c r="L871" s="11"/>
    </row>
    <row r="872" spans="10:12" ht="13" x14ac:dyDescent="0.15">
      <c r="J872" s="23"/>
      <c r="L872" s="11"/>
    </row>
    <row r="873" spans="10:12" ht="13" x14ac:dyDescent="0.15">
      <c r="J873" s="23"/>
      <c r="L873" s="11"/>
    </row>
    <row r="874" spans="10:12" ht="13" x14ac:dyDescent="0.15">
      <c r="J874" s="23"/>
      <c r="L874" s="11"/>
    </row>
    <row r="875" spans="10:12" ht="13" x14ac:dyDescent="0.15">
      <c r="J875" s="23"/>
      <c r="L875" s="11"/>
    </row>
    <row r="876" spans="10:12" ht="13" x14ac:dyDescent="0.15">
      <c r="J876" s="23"/>
      <c r="L876" s="11"/>
    </row>
    <row r="877" spans="10:12" ht="13" x14ac:dyDescent="0.15">
      <c r="J877" s="23"/>
      <c r="L877" s="11"/>
    </row>
    <row r="878" spans="10:12" ht="13" x14ac:dyDescent="0.15">
      <c r="J878" s="23"/>
      <c r="L878" s="11"/>
    </row>
    <row r="879" spans="10:12" ht="13" x14ac:dyDescent="0.15">
      <c r="J879" s="23"/>
      <c r="L879" s="11"/>
    </row>
    <row r="880" spans="10:12" ht="13" x14ac:dyDescent="0.15">
      <c r="J880" s="23"/>
      <c r="L880" s="11"/>
    </row>
    <row r="881" spans="10:12" ht="13" x14ac:dyDescent="0.15">
      <c r="J881" s="23"/>
      <c r="L881" s="11"/>
    </row>
    <row r="882" spans="10:12" ht="13" x14ac:dyDescent="0.15">
      <c r="J882" s="23"/>
      <c r="L882" s="11"/>
    </row>
    <row r="883" spans="10:12" ht="13" x14ac:dyDescent="0.15">
      <c r="J883" s="23"/>
      <c r="L883" s="11"/>
    </row>
    <row r="884" spans="10:12" ht="13" x14ac:dyDescent="0.15">
      <c r="J884" s="23"/>
      <c r="L884" s="11"/>
    </row>
    <row r="885" spans="10:12" ht="13" x14ac:dyDescent="0.15">
      <c r="J885" s="23"/>
      <c r="L885" s="11"/>
    </row>
    <row r="886" spans="10:12" ht="13" x14ac:dyDescent="0.15">
      <c r="J886" s="23"/>
      <c r="L886" s="11"/>
    </row>
    <row r="887" spans="10:12" ht="13" x14ac:dyDescent="0.15">
      <c r="J887" s="23"/>
      <c r="L887" s="11"/>
    </row>
    <row r="888" spans="10:12" ht="13" x14ac:dyDescent="0.15">
      <c r="J888" s="23"/>
      <c r="L888" s="11"/>
    </row>
    <row r="889" spans="10:12" ht="13" x14ac:dyDescent="0.15">
      <c r="J889" s="23"/>
      <c r="L889" s="11"/>
    </row>
    <row r="890" spans="10:12" ht="13" x14ac:dyDescent="0.15">
      <c r="J890" s="23"/>
      <c r="L890" s="11"/>
    </row>
    <row r="891" spans="10:12" ht="13" x14ac:dyDescent="0.15">
      <c r="J891" s="23"/>
      <c r="L891" s="11"/>
    </row>
    <row r="892" spans="10:12" ht="13" x14ac:dyDescent="0.15">
      <c r="J892" s="23"/>
      <c r="L892" s="11"/>
    </row>
    <row r="893" spans="10:12" ht="13" x14ac:dyDescent="0.15">
      <c r="J893" s="23"/>
      <c r="L893" s="11"/>
    </row>
    <row r="894" spans="10:12" ht="13" x14ac:dyDescent="0.15">
      <c r="J894" s="23"/>
      <c r="L894" s="11"/>
    </row>
    <row r="895" spans="10:12" ht="13" x14ac:dyDescent="0.15">
      <c r="J895" s="23"/>
      <c r="L895" s="11"/>
    </row>
    <row r="896" spans="10:12" ht="13" x14ac:dyDescent="0.15">
      <c r="J896" s="23"/>
      <c r="L896" s="11"/>
    </row>
    <row r="897" spans="10:12" ht="13" x14ac:dyDescent="0.15">
      <c r="J897" s="23"/>
      <c r="L897" s="11"/>
    </row>
    <row r="898" spans="10:12" ht="13" x14ac:dyDescent="0.15">
      <c r="J898" s="23"/>
      <c r="L898" s="11"/>
    </row>
    <row r="899" spans="10:12" ht="13" x14ac:dyDescent="0.15">
      <c r="J899" s="23"/>
      <c r="L899" s="11"/>
    </row>
    <row r="900" spans="10:12" ht="13" x14ac:dyDescent="0.15">
      <c r="J900" s="23"/>
      <c r="L900" s="11"/>
    </row>
    <row r="901" spans="10:12" ht="13" x14ac:dyDescent="0.15">
      <c r="J901" s="23"/>
      <c r="L901" s="11"/>
    </row>
    <row r="902" spans="10:12" ht="13" x14ac:dyDescent="0.15">
      <c r="J902" s="23"/>
      <c r="L902" s="11"/>
    </row>
    <row r="903" spans="10:12" ht="13" x14ac:dyDescent="0.15">
      <c r="J903" s="23"/>
      <c r="L903" s="11"/>
    </row>
    <row r="904" spans="10:12" ht="13" x14ac:dyDescent="0.15">
      <c r="J904" s="23"/>
      <c r="L904" s="11"/>
    </row>
    <row r="905" spans="10:12" ht="13" x14ac:dyDescent="0.15">
      <c r="J905" s="23"/>
      <c r="L905" s="11"/>
    </row>
    <row r="906" spans="10:12" ht="13" x14ac:dyDescent="0.15">
      <c r="J906" s="23"/>
      <c r="L906" s="11"/>
    </row>
    <row r="907" spans="10:12" ht="13" x14ac:dyDescent="0.15">
      <c r="J907" s="23"/>
      <c r="L907" s="11"/>
    </row>
    <row r="908" spans="10:12" ht="13" x14ac:dyDescent="0.15">
      <c r="J908" s="23"/>
      <c r="L908" s="11"/>
    </row>
    <row r="909" spans="10:12" ht="13" x14ac:dyDescent="0.15">
      <c r="J909" s="23"/>
      <c r="L909" s="11"/>
    </row>
    <row r="910" spans="10:12" ht="13" x14ac:dyDescent="0.15">
      <c r="J910" s="23"/>
      <c r="L910" s="11"/>
    </row>
    <row r="911" spans="10:12" ht="13" x14ac:dyDescent="0.15">
      <c r="J911" s="23"/>
      <c r="L911" s="11"/>
    </row>
    <row r="912" spans="10:12" ht="13" x14ac:dyDescent="0.15">
      <c r="J912" s="23"/>
      <c r="L912" s="11"/>
    </row>
    <row r="913" spans="10:12" ht="13" x14ac:dyDescent="0.15">
      <c r="J913" s="23"/>
      <c r="L913" s="11"/>
    </row>
    <row r="914" spans="10:12" ht="13" x14ac:dyDescent="0.15">
      <c r="J914" s="23"/>
      <c r="L914" s="11"/>
    </row>
    <row r="915" spans="10:12" ht="13" x14ac:dyDescent="0.15">
      <c r="J915" s="23"/>
      <c r="L915" s="11"/>
    </row>
    <row r="916" spans="10:12" ht="13" x14ac:dyDescent="0.15">
      <c r="J916" s="23"/>
      <c r="L916" s="11"/>
    </row>
    <row r="917" spans="10:12" ht="13" x14ac:dyDescent="0.15">
      <c r="J917" s="23"/>
      <c r="L917" s="11"/>
    </row>
    <row r="918" spans="10:12" ht="13" x14ac:dyDescent="0.15">
      <c r="J918" s="23"/>
      <c r="L918" s="11"/>
    </row>
    <row r="919" spans="10:12" ht="13" x14ac:dyDescent="0.15">
      <c r="J919" s="23"/>
      <c r="L919" s="11"/>
    </row>
    <row r="920" spans="10:12" ht="13" x14ac:dyDescent="0.15">
      <c r="J920" s="23"/>
      <c r="L920" s="11"/>
    </row>
    <row r="921" spans="10:12" ht="13" x14ac:dyDescent="0.15">
      <c r="J921" s="23"/>
      <c r="L921" s="11"/>
    </row>
    <row r="922" spans="10:12" ht="13" x14ac:dyDescent="0.15">
      <c r="J922" s="23"/>
      <c r="L922" s="11"/>
    </row>
    <row r="923" spans="10:12" ht="13" x14ac:dyDescent="0.15">
      <c r="J923" s="23"/>
      <c r="L923" s="11"/>
    </row>
    <row r="924" spans="10:12" ht="13" x14ac:dyDescent="0.15">
      <c r="J924" s="23"/>
      <c r="L924" s="11"/>
    </row>
    <row r="925" spans="10:12" ht="13" x14ac:dyDescent="0.15">
      <c r="J925" s="23"/>
      <c r="L925" s="11"/>
    </row>
    <row r="926" spans="10:12" ht="13" x14ac:dyDescent="0.15">
      <c r="J926" s="23"/>
      <c r="L926" s="11"/>
    </row>
    <row r="927" spans="10:12" ht="13" x14ac:dyDescent="0.15">
      <c r="J927" s="23"/>
      <c r="L927" s="11"/>
    </row>
    <row r="928" spans="10:12" ht="13" x14ac:dyDescent="0.15">
      <c r="J928" s="23"/>
      <c r="L928" s="11"/>
    </row>
    <row r="929" spans="10:12" ht="13" x14ac:dyDescent="0.15">
      <c r="J929" s="23"/>
      <c r="L929" s="11"/>
    </row>
    <row r="930" spans="10:12" ht="13" x14ac:dyDescent="0.15">
      <c r="J930" s="23"/>
      <c r="L930" s="11"/>
    </row>
    <row r="931" spans="10:12" ht="13" x14ac:dyDescent="0.15">
      <c r="J931" s="23"/>
      <c r="L931" s="11"/>
    </row>
    <row r="932" spans="10:12" ht="13" x14ac:dyDescent="0.15">
      <c r="J932" s="23"/>
      <c r="L932" s="11"/>
    </row>
    <row r="933" spans="10:12" ht="13" x14ac:dyDescent="0.15">
      <c r="J933" s="23"/>
      <c r="L933" s="11"/>
    </row>
    <row r="934" spans="10:12" ht="13" x14ac:dyDescent="0.15">
      <c r="J934" s="23"/>
      <c r="L934" s="11"/>
    </row>
    <row r="935" spans="10:12" ht="13" x14ac:dyDescent="0.15">
      <c r="J935" s="23"/>
      <c r="L935" s="11"/>
    </row>
    <row r="936" spans="10:12" ht="13" x14ac:dyDescent="0.15">
      <c r="J936" s="23"/>
      <c r="L936" s="11"/>
    </row>
    <row r="937" spans="10:12" ht="13" x14ac:dyDescent="0.15">
      <c r="J937" s="23"/>
      <c r="L937" s="11"/>
    </row>
    <row r="938" spans="10:12" ht="13" x14ac:dyDescent="0.15">
      <c r="J938" s="23"/>
      <c r="L938" s="11"/>
    </row>
    <row r="939" spans="10:12" ht="13" x14ac:dyDescent="0.15">
      <c r="J939" s="23"/>
      <c r="L939" s="11"/>
    </row>
    <row r="940" spans="10:12" ht="13" x14ac:dyDescent="0.15">
      <c r="J940" s="23"/>
      <c r="L940" s="11"/>
    </row>
    <row r="941" spans="10:12" ht="13" x14ac:dyDescent="0.15">
      <c r="J941" s="23"/>
      <c r="L941" s="11"/>
    </row>
    <row r="942" spans="10:12" ht="13" x14ac:dyDescent="0.15">
      <c r="J942" s="23"/>
      <c r="L942" s="11"/>
    </row>
    <row r="943" spans="10:12" ht="13" x14ac:dyDescent="0.15">
      <c r="J943" s="23"/>
      <c r="L943" s="11"/>
    </row>
    <row r="944" spans="10:12" ht="13" x14ac:dyDescent="0.15">
      <c r="J944" s="23"/>
      <c r="L944" s="11"/>
    </row>
    <row r="945" spans="10:12" ht="13" x14ac:dyDescent="0.15">
      <c r="J945" s="23"/>
      <c r="L945" s="11"/>
    </row>
    <row r="946" spans="10:12" ht="13" x14ac:dyDescent="0.15">
      <c r="J946" s="23"/>
      <c r="L946" s="11"/>
    </row>
    <row r="947" spans="10:12" ht="13" x14ac:dyDescent="0.15">
      <c r="J947" s="23"/>
      <c r="L947" s="11"/>
    </row>
    <row r="948" spans="10:12" ht="13" x14ac:dyDescent="0.15">
      <c r="J948" s="23"/>
      <c r="L948" s="11"/>
    </row>
    <row r="949" spans="10:12" ht="13" x14ac:dyDescent="0.15">
      <c r="J949" s="23"/>
      <c r="L949" s="11"/>
    </row>
    <row r="950" spans="10:12" ht="13" x14ac:dyDescent="0.15">
      <c r="J950" s="23"/>
      <c r="L950" s="11"/>
    </row>
    <row r="951" spans="10:12" ht="13" x14ac:dyDescent="0.15">
      <c r="J951" s="23"/>
      <c r="L951" s="11"/>
    </row>
    <row r="952" spans="10:12" ht="13" x14ac:dyDescent="0.15">
      <c r="J952" s="23"/>
      <c r="L952" s="11"/>
    </row>
    <row r="953" spans="10:12" ht="13" x14ac:dyDescent="0.15">
      <c r="J953" s="23"/>
      <c r="L953" s="11"/>
    </row>
    <row r="954" spans="10:12" ht="13" x14ac:dyDescent="0.15">
      <c r="J954" s="23"/>
      <c r="L954" s="11"/>
    </row>
    <row r="955" spans="10:12" ht="13" x14ac:dyDescent="0.15">
      <c r="J955" s="23"/>
      <c r="L955" s="11"/>
    </row>
    <row r="956" spans="10:12" ht="13" x14ac:dyDescent="0.15">
      <c r="J956" s="23"/>
      <c r="L956" s="11"/>
    </row>
    <row r="957" spans="10:12" ht="13" x14ac:dyDescent="0.15">
      <c r="J957" s="23"/>
      <c r="L957" s="11"/>
    </row>
    <row r="958" spans="10:12" ht="13" x14ac:dyDescent="0.15">
      <c r="J958" s="23"/>
      <c r="L958" s="11"/>
    </row>
    <row r="959" spans="10:12" ht="13" x14ac:dyDescent="0.15">
      <c r="J959" s="23"/>
      <c r="L959" s="11"/>
    </row>
    <row r="960" spans="10:12" ht="13" x14ac:dyDescent="0.15">
      <c r="J960" s="23"/>
      <c r="L960" s="11"/>
    </row>
    <row r="961" spans="10:12" ht="13" x14ac:dyDescent="0.15">
      <c r="J961" s="23"/>
      <c r="L961" s="11"/>
    </row>
    <row r="962" spans="10:12" ht="13" x14ac:dyDescent="0.15">
      <c r="J962" s="23"/>
      <c r="L962" s="11"/>
    </row>
    <row r="963" spans="10:12" ht="13" x14ac:dyDescent="0.15">
      <c r="J963" s="23"/>
      <c r="L963" s="11"/>
    </row>
    <row r="964" spans="10:12" ht="13" x14ac:dyDescent="0.15">
      <c r="J964" s="23"/>
      <c r="L964" s="11"/>
    </row>
    <row r="965" spans="10:12" ht="13" x14ac:dyDescent="0.15">
      <c r="J965" s="23"/>
      <c r="L965" s="11"/>
    </row>
    <row r="966" spans="10:12" ht="13" x14ac:dyDescent="0.15">
      <c r="J966" s="23"/>
      <c r="L966" s="11"/>
    </row>
    <row r="967" spans="10:12" ht="13" x14ac:dyDescent="0.15">
      <c r="J967" s="23"/>
      <c r="L967" s="11"/>
    </row>
    <row r="968" spans="10:12" ht="13" x14ac:dyDescent="0.15">
      <c r="J968" s="23"/>
      <c r="L968" s="11"/>
    </row>
    <row r="969" spans="10:12" ht="13" x14ac:dyDescent="0.15">
      <c r="J969" s="23"/>
      <c r="L969" s="11"/>
    </row>
    <row r="970" spans="10:12" ht="13" x14ac:dyDescent="0.15">
      <c r="J970" s="23"/>
      <c r="L970" s="11"/>
    </row>
    <row r="971" spans="10:12" ht="13" x14ac:dyDescent="0.15">
      <c r="J971" s="23"/>
      <c r="L971" s="11"/>
    </row>
    <row r="972" spans="10:12" ht="13" x14ac:dyDescent="0.15">
      <c r="J972" s="23"/>
      <c r="L972" s="11"/>
    </row>
    <row r="973" spans="10:12" ht="13" x14ac:dyDescent="0.15">
      <c r="J973" s="23"/>
      <c r="L973" s="11"/>
    </row>
    <row r="974" spans="10:12" ht="13" x14ac:dyDescent="0.15">
      <c r="J974" s="23"/>
      <c r="L974" s="11"/>
    </row>
    <row r="975" spans="10:12" ht="13" x14ac:dyDescent="0.15">
      <c r="J975" s="23"/>
      <c r="L975" s="11"/>
    </row>
    <row r="976" spans="10:12" ht="13" x14ac:dyDescent="0.15">
      <c r="J976" s="23"/>
      <c r="L976" s="11"/>
    </row>
    <row r="977" spans="10:12" ht="13" x14ac:dyDescent="0.15">
      <c r="J977" s="23"/>
      <c r="L977" s="11"/>
    </row>
    <row r="978" spans="10:12" ht="13" x14ac:dyDescent="0.15">
      <c r="J978" s="23"/>
      <c r="L978" s="11"/>
    </row>
    <row r="979" spans="10:12" ht="13" x14ac:dyDescent="0.15">
      <c r="J979" s="23"/>
      <c r="L979" s="11"/>
    </row>
    <row r="980" spans="10:12" ht="13" x14ac:dyDescent="0.15">
      <c r="J980" s="23"/>
      <c r="L980" s="11"/>
    </row>
    <row r="981" spans="10:12" ht="13" x14ac:dyDescent="0.15">
      <c r="J981" s="23"/>
      <c r="L981" s="11"/>
    </row>
    <row r="982" spans="10:12" ht="13" x14ac:dyDescent="0.15">
      <c r="J982" s="23"/>
      <c r="L982" s="11"/>
    </row>
    <row r="983" spans="10:12" ht="13" x14ac:dyDescent="0.15">
      <c r="J983" s="23"/>
      <c r="L983" s="11"/>
    </row>
    <row r="984" spans="10:12" ht="13" x14ac:dyDescent="0.15">
      <c r="J984" s="23"/>
      <c r="L984" s="11"/>
    </row>
    <row r="985" spans="10:12" ht="13" x14ac:dyDescent="0.15">
      <c r="J985" s="23"/>
      <c r="L985" s="11"/>
    </row>
    <row r="986" spans="10:12" ht="13" x14ac:dyDescent="0.15">
      <c r="J986" s="23"/>
      <c r="L986" s="11"/>
    </row>
    <row r="987" spans="10:12" ht="13" x14ac:dyDescent="0.15">
      <c r="J987" s="23"/>
      <c r="L987" s="11"/>
    </row>
    <row r="988" spans="10:12" ht="13" x14ac:dyDescent="0.15">
      <c r="J988" s="23"/>
      <c r="L988" s="11"/>
    </row>
    <row r="989" spans="10:12" ht="13" x14ac:dyDescent="0.15">
      <c r="J989" s="23"/>
      <c r="L989" s="11"/>
    </row>
    <row r="990" spans="10:12" ht="13" x14ac:dyDescent="0.15">
      <c r="J990" s="23"/>
      <c r="L990" s="11"/>
    </row>
    <row r="991" spans="10:12" ht="13" x14ac:dyDescent="0.15">
      <c r="J991" s="23"/>
      <c r="L991" s="11"/>
    </row>
    <row r="992" spans="10:12" ht="13" x14ac:dyDescent="0.15">
      <c r="J992" s="23"/>
      <c r="L992" s="11"/>
    </row>
    <row r="993" spans="10:12" ht="13" x14ac:dyDescent="0.15">
      <c r="J993" s="23"/>
      <c r="L993" s="11"/>
    </row>
    <row r="994" spans="10:12" ht="13" x14ac:dyDescent="0.15">
      <c r="J994" s="23"/>
      <c r="L994" s="11"/>
    </row>
    <row r="995" spans="10:12" ht="13" x14ac:dyDescent="0.15">
      <c r="J995" s="23"/>
      <c r="L995" s="11"/>
    </row>
    <row r="996" spans="10:12" ht="13" x14ac:dyDescent="0.15">
      <c r="J996" s="23"/>
      <c r="L996" s="11"/>
    </row>
    <row r="997" spans="10:12" ht="13" x14ac:dyDescent="0.15">
      <c r="J997" s="23"/>
      <c r="L997" s="11"/>
    </row>
    <row r="998" spans="10:12" ht="13" x14ac:dyDescent="0.15">
      <c r="J998" s="23"/>
      <c r="L998" s="11"/>
    </row>
    <row r="999" spans="10:12" ht="13" x14ac:dyDescent="0.15">
      <c r="J999" s="23"/>
      <c r="L999" s="11"/>
    </row>
    <row r="1000" spans="10:12" ht="13" x14ac:dyDescent="0.15">
      <c r="J1000" s="23"/>
      <c r="L1000" s="11"/>
    </row>
    <row r="1001" spans="10:12" ht="13" x14ac:dyDescent="0.15">
      <c r="J1001" s="23"/>
      <c r="L1001" s="11"/>
    </row>
    <row r="1002" spans="10:12" ht="13" x14ac:dyDescent="0.15">
      <c r="J1002" s="23"/>
      <c r="L1002" s="11"/>
    </row>
  </sheetData>
  <conditionalFormatting sqref="K1:K1002">
    <cfRule type="cellIs" dxfId="2" priority="1" operator="greaterThanOrEqual">
      <formula>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4C5DE-E160-7A4E-9FC5-F03CB93C3A8B}">
  <dimension ref="A1:O64"/>
  <sheetViews>
    <sheetView topLeftCell="A52" workbookViewId="0">
      <selection activeCell="K13" sqref="K13"/>
    </sheetView>
  </sheetViews>
  <sheetFormatPr baseColWidth="10" defaultRowHeight="25" customHeight="1" x14ac:dyDescent="0.15"/>
  <cols>
    <col min="1" max="1" width="23.5" style="46" customWidth="1"/>
    <col min="2" max="2" width="22.1640625" style="46" customWidth="1"/>
    <col min="3" max="3" width="19" style="47" customWidth="1"/>
    <col min="4" max="4" width="23.5" style="47" customWidth="1"/>
    <col min="5" max="5" width="22.1640625" style="47" customWidth="1"/>
    <col min="6" max="6" width="22.33203125" style="47" customWidth="1"/>
    <col min="7" max="7" width="22.5" style="47" customWidth="1"/>
    <col min="8" max="8" width="23.83203125" style="47" customWidth="1"/>
    <col min="9" max="9" width="21.5" style="47" customWidth="1"/>
    <col min="10" max="10" width="23.5" style="47" customWidth="1"/>
    <col min="11" max="11" width="34.83203125" customWidth="1"/>
    <col min="12" max="12" width="70.5" customWidth="1"/>
    <col min="13" max="13" width="25.1640625" customWidth="1"/>
    <col min="14" max="14" width="21.33203125" customWidth="1"/>
    <col min="15" max="15" width="28.33203125" customWidth="1"/>
  </cols>
  <sheetData>
    <row r="1" spans="1:15" s="54" customFormat="1" ht="45" customHeight="1" thickBot="1" x14ac:dyDescent="0.2">
      <c r="A1" s="55" t="s">
        <v>94</v>
      </c>
      <c r="B1" s="55" t="s">
        <v>95</v>
      </c>
      <c r="C1" s="56" t="s">
        <v>2</v>
      </c>
      <c r="D1" s="56" t="s">
        <v>3</v>
      </c>
      <c r="E1" s="56" t="s">
        <v>4</v>
      </c>
      <c r="F1" s="56" t="s">
        <v>5</v>
      </c>
      <c r="G1" s="56" t="s">
        <v>6</v>
      </c>
      <c r="H1" s="56" t="s">
        <v>7</v>
      </c>
      <c r="I1" s="56" t="s">
        <v>8</v>
      </c>
      <c r="J1" s="52" t="s">
        <v>96</v>
      </c>
      <c r="K1" s="53" t="s">
        <v>97</v>
      </c>
      <c r="L1" s="53" t="s">
        <v>11</v>
      </c>
      <c r="M1"/>
      <c r="N1"/>
      <c r="O1"/>
    </row>
    <row r="2" spans="1:15" ht="25" customHeight="1" thickTop="1" x14ac:dyDescent="0.15">
      <c r="A2" s="45">
        <v>45656</v>
      </c>
      <c r="B2" s="45">
        <f>A2+6</f>
        <v>45662</v>
      </c>
      <c r="C2" s="34">
        <v>7526.6</v>
      </c>
      <c r="D2" s="35">
        <v>0</v>
      </c>
      <c r="E2" s="35">
        <v>3689.55</v>
      </c>
      <c r="F2" s="34">
        <v>6453.51</v>
      </c>
      <c r="G2" s="35">
        <v>11241.1</v>
      </c>
      <c r="H2" s="35">
        <v>14053.74</v>
      </c>
      <c r="I2" s="35">
        <v>5195.91</v>
      </c>
      <c r="J2" s="36">
        <v>48160.4</v>
      </c>
      <c r="K2" s="37"/>
      <c r="L2" s="38" t="s">
        <v>18</v>
      </c>
    </row>
    <row r="3" spans="1:15" ht="25" customHeight="1" x14ac:dyDescent="0.15">
      <c r="A3" s="45">
        <f>A2+7</f>
        <v>45663</v>
      </c>
      <c r="B3" s="45">
        <f t="shared" ref="B3:B64" si="0">A3+6</f>
        <v>45669</v>
      </c>
      <c r="C3" s="35">
        <v>3232.85</v>
      </c>
      <c r="D3" s="35">
        <v>0</v>
      </c>
      <c r="E3" s="35">
        <v>4285</v>
      </c>
      <c r="F3" s="35">
        <v>4601.6499999999996</v>
      </c>
      <c r="G3" s="35">
        <v>9380.6</v>
      </c>
      <c r="H3" s="35">
        <v>14013.45</v>
      </c>
      <c r="I3" s="35">
        <v>3276.11</v>
      </c>
      <c r="J3" s="36">
        <v>38789.660000000003</v>
      </c>
      <c r="K3" s="40">
        <f>(J3-J2)/J2</f>
        <v>-0.19457355005357094</v>
      </c>
      <c r="L3" s="38"/>
    </row>
    <row r="4" spans="1:15" ht="25" customHeight="1" x14ac:dyDescent="0.15">
      <c r="A4" s="45">
        <f t="shared" ref="A4:A64" si="1">A3+7</f>
        <v>45670</v>
      </c>
      <c r="B4" s="45">
        <f t="shared" si="0"/>
        <v>45676</v>
      </c>
      <c r="C4" s="35">
        <v>2873.63</v>
      </c>
      <c r="D4" s="35">
        <v>0</v>
      </c>
      <c r="E4" s="35">
        <v>3636.3</v>
      </c>
      <c r="F4" s="35">
        <v>4807.3999999999996</v>
      </c>
      <c r="G4" s="35">
        <v>10376.25</v>
      </c>
      <c r="H4" s="35">
        <v>10088.6</v>
      </c>
      <c r="I4" s="35">
        <v>6109.2</v>
      </c>
      <c r="J4" s="36">
        <v>37891.379999999997</v>
      </c>
      <c r="K4" s="40">
        <f>(J4-J3)/J3</f>
        <v>-2.3157717804177868E-2</v>
      </c>
      <c r="L4" s="38"/>
    </row>
    <row r="5" spans="1:15" ht="25" customHeight="1" x14ac:dyDescent="0.15">
      <c r="A5" s="45">
        <f t="shared" si="1"/>
        <v>45677</v>
      </c>
      <c r="B5" s="45">
        <f t="shared" si="0"/>
        <v>45683</v>
      </c>
      <c r="C5" s="35">
        <v>1724</v>
      </c>
      <c r="D5" s="35">
        <v>0</v>
      </c>
      <c r="E5" s="35">
        <v>2215.5</v>
      </c>
      <c r="F5" s="35">
        <v>4748.75</v>
      </c>
      <c r="G5" s="35">
        <v>12688.2</v>
      </c>
      <c r="H5" s="35">
        <v>14742.33</v>
      </c>
      <c r="I5" s="35">
        <v>3842.2</v>
      </c>
      <c r="J5" s="36">
        <v>39960.980000000003</v>
      </c>
      <c r="K5" s="40">
        <f>(J5-J4)/J4</f>
        <v>5.4619282802579529E-2</v>
      </c>
      <c r="L5" s="38"/>
    </row>
    <row r="6" spans="1:15" ht="25" customHeight="1" x14ac:dyDescent="0.15">
      <c r="A6" s="45">
        <f t="shared" si="1"/>
        <v>45684</v>
      </c>
      <c r="B6" s="45">
        <f t="shared" si="0"/>
        <v>45690</v>
      </c>
      <c r="C6" s="35">
        <v>3493.05</v>
      </c>
      <c r="D6" s="35">
        <v>0</v>
      </c>
      <c r="E6" s="35">
        <v>4034.15</v>
      </c>
      <c r="F6" s="35">
        <v>3766.75</v>
      </c>
      <c r="G6" s="35">
        <v>10237.15</v>
      </c>
      <c r="H6" s="35">
        <v>15657.91</v>
      </c>
      <c r="I6" s="35">
        <v>5008.25</v>
      </c>
      <c r="J6" s="36">
        <v>42197.26</v>
      </c>
      <c r="K6" s="40">
        <f>(J6-J5)/J5</f>
        <v>5.5961590531563507E-2</v>
      </c>
      <c r="L6" s="38" t="s">
        <v>23</v>
      </c>
    </row>
    <row r="7" spans="1:15" ht="25" customHeight="1" x14ac:dyDescent="0.15">
      <c r="A7" s="45">
        <f t="shared" si="1"/>
        <v>45691</v>
      </c>
      <c r="B7" s="45">
        <f t="shared" si="0"/>
        <v>45697</v>
      </c>
      <c r="C7" s="35">
        <v>2809.11</v>
      </c>
      <c r="D7" s="35">
        <v>4391</v>
      </c>
      <c r="E7" s="35">
        <v>3380.3</v>
      </c>
      <c r="F7" s="35">
        <v>4906</v>
      </c>
      <c r="G7" s="35">
        <v>8830.4500000000007</v>
      </c>
      <c r="H7" s="35">
        <v>12087.75</v>
      </c>
      <c r="I7" s="35">
        <v>1122</v>
      </c>
      <c r="J7" s="36">
        <v>37526.61</v>
      </c>
      <c r="K7" s="40">
        <f>(J7-J6)/J6</f>
        <v>-0.11068609668021102</v>
      </c>
      <c r="L7" s="38"/>
    </row>
    <row r="8" spans="1:15" ht="25" customHeight="1" x14ac:dyDescent="0.15">
      <c r="A8" s="45">
        <f t="shared" si="1"/>
        <v>45698</v>
      </c>
      <c r="B8" s="45">
        <f t="shared" si="0"/>
        <v>45704</v>
      </c>
      <c r="C8" s="35">
        <v>1424</v>
      </c>
      <c r="D8" s="35">
        <v>0</v>
      </c>
      <c r="E8" s="35">
        <v>1854</v>
      </c>
      <c r="F8" s="35">
        <v>6612</v>
      </c>
      <c r="G8" s="34">
        <v>16427</v>
      </c>
      <c r="H8" s="35">
        <v>15530</v>
      </c>
      <c r="I8" s="35">
        <v>7548</v>
      </c>
      <c r="J8" s="36">
        <f>SUM(C8:I8)</f>
        <v>49395</v>
      </c>
      <c r="K8" s="40">
        <f>(J8-J7)/J7</f>
        <v>0.31626597766225084</v>
      </c>
      <c r="L8" s="38" t="s">
        <v>26</v>
      </c>
    </row>
    <row r="9" spans="1:15" ht="25" customHeight="1" x14ac:dyDescent="0.15">
      <c r="A9" s="45">
        <f t="shared" si="1"/>
        <v>45705</v>
      </c>
      <c r="B9" s="45">
        <f t="shared" si="0"/>
        <v>45711</v>
      </c>
      <c r="C9" s="35">
        <v>1873</v>
      </c>
      <c r="D9" s="35">
        <v>0</v>
      </c>
      <c r="E9" s="35">
        <v>3576</v>
      </c>
      <c r="F9" s="35">
        <v>3388</v>
      </c>
      <c r="G9" s="35">
        <v>10389</v>
      </c>
      <c r="H9" s="35">
        <v>13440</v>
      </c>
      <c r="I9" s="35">
        <v>4428</v>
      </c>
      <c r="J9" s="36">
        <f>SUM(C9:I9)</f>
        <v>37094</v>
      </c>
      <c r="K9" s="40">
        <f>(J9-J8)/J8</f>
        <v>-0.24903330296588724</v>
      </c>
      <c r="L9" s="38" t="s">
        <v>28</v>
      </c>
    </row>
    <row r="10" spans="1:15" ht="25" customHeight="1" x14ac:dyDescent="0.15">
      <c r="A10" s="45">
        <f t="shared" si="1"/>
        <v>45712</v>
      </c>
      <c r="B10" s="45">
        <f t="shared" si="0"/>
        <v>45718</v>
      </c>
      <c r="C10" s="35">
        <v>2144</v>
      </c>
      <c r="D10" s="35">
        <v>0</v>
      </c>
      <c r="E10" s="35">
        <v>2466</v>
      </c>
      <c r="F10" s="35">
        <v>5886</v>
      </c>
      <c r="G10" s="35">
        <v>10886</v>
      </c>
      <c r="H10" s="35">
        <v>13701</v>
      </c>
      <c r="I10" s="35">
        <v>5490</v>
      </c>
      <c r="J10" s="36">
        <f>SUM(C10:I10)</f>
        <v>40573</v>
      </c>
      <c r="K10" s="40">
        <f>(J10-J9)/J9</f>
        <v>9.378875289804281E-2</v>
      </c>
      <c r="L10" s="38"/>
    </row>
    <row r="11" spans="1:15" ht="25" customHeight="1" x14ac:dyDescent="0.15">
      <c r="A11" s="45">
        <f t="shared" si="1"/>
        <v>45719</v>
      </c>
      <c r="B11" s="45">
        <f t="shared" si="0"/>
        <v>45725</v>
      </c>
      <c r="C11" s="35">
        <v>1961</v>
      </c>
      <c r="D11" s="35">
        <v>0</v>
      </c>
      <c r="E11" s="35">
        <v>3458</v>
      </c>
      <c r="F11" s="35">
        <v>2996.6</v>
      </c>
      <c r="G11" s="35">
        <v>10998</v>
      </c>
      <c r="H11" s="35">
        <v>12545</v>
      </c>
      <c r="I11" s="35">
        <v>5549</v>
      </c>
      <c r="J11" s="36">
        <f>SUM(C11:I11)</f>
        <v>37507.599999999999</v>
      </c>
      <c r="K11" s="40">
        <f>(J11-J10)/J10</f>
        <v>-7.5552707465555952E-2</v>
      </c>
      <c r="L11" s="38"/>
    </row>
    <row r="12" spans="1:15" ht="25" customHeight="1" x14ac:dyDescent="0.15">
      <c r="A12" s="45">
        <f t="shared" si="1"/>
        <v>45726</v>
      </c>
      <c r="B12" s="45">
        <f t="shared" si="0"/>
        <v>45732</v>
      </c>
      <c r="C12" s="35">
        <v>4895</v>
      </c>
      <c r="D12" s="35">
        <v>0</v>
      </c>
      <c r="E12" s="35">
        <v>4403</v>
      </c>
      <c r="F12" s="35">
        <v>2945</v>
      </c>
      <c r="G12" s="35">
        <v>10542</v>
      </c>
      <c r="H12" s="35">
        <v>11247</v>
      </c>
      <c r="I12" s="35">
        <v>3112</v>
      </c>
      <c r="J12" s="36">
        <f>SUM(C12:I12)</f>
        <v>37144</v>
      </c>
      <c r="K12" s="40">
        <f>(J12-J11)/J11</f>
        <v>-9.6940353421706149E-3</v>
      </c>
      <c r="L12" s="38"/>
    </row>
    <row r="13" spans="1:15" ht="25" customHeight="1" x14ac:dyDescent="0.15">
      <c r="A13" s="45">
        <f t="shared" si="1"/>
        <v>45733</v>
      </c>
      <c r="B13" s="45">
        <f t="shared" si="0"/>
        <v>45739</v>
      </c>
      <c r="C13" s="35">
        <v>3681</v>
      </c>
      <c r="D13" s="35">
        <v>0</v>
      </c>
      <c r="E13" s="35">
        <v>4574</v>
      </c>
      <c r="F13" s="35">
        <v>4023</v>
      </c>
      <c r="G13" s="35">
        <v>11199</v>
      </c>
      <c r="H13" s="35">
        <v>14365</v>
      </c>
      <c r="I13" s="35">
        <v>5519</v>
      </c>
      <c r="J13" s="36">
        <f>SUM(C13:I13)</f>
        <v>43361</v>
      </c>
      <c r="K13" s="40">
        <f>(J13-J12)/J12</f>
        <v>0.16737561921171656</v>
      </c>
      <c r="L13" s="38"/>
    </row>
    <row r="14" spans="1:15" ht="25" customHeight="1" x14ac:dyDescent="0.15">
      <c r="A14" s="45">
        <f t="shared" si="1"/>
        <v>45740</v>
      </c>
      <c r="B14" s="45">
        <f t="shared" si="0"/>
        <v>45746</v>
      </c>
      <c r="C14" s="35">
        <v>2821</v>
      </c>
      <c r="D14" s="35">
        <v>0</v>
      </c>
      <c r="E14" s="35">
        <v>4872</v>
      </c>
      <c r="F14" s="35">
        <v>3809</v>
      </c>
      <c r="G14" s="35">
        <v>11848</v>
      </c>
      <c r="H14" s="35">
        <v>12858</v>
      </c>
      <c r="I14" s="35">
        <v>7089</v>
      </c>
      <c r="J14" s="36">
        <f>SUM(C14:I14)</f>
        <v>43297</v>
      </c>
      <c r="K14" s="40">
        <f>(J14-J13)/J13</f>
        <v>-1.475980720001845E-3</v>
      </c>
      <c r="L14" s="38"/>
    </row>
    <row r="15" spans="1:15" ht="25" customHeight="1" x14ac:dyDescent="0.15">
      <c r="A15" s="45">
        <f t="shared" si="1"/>
        <v>45747</v>
      </c>
      <c r="B15" s="45">
        <f t="shared" si="0"/>
        <v>45753</v>
      </c>
      <c r="C15" s="35">
        <v>3355</v>
      </c>
      <c r="D15" s="35">
        <v>0</v>
      </c>
      <c r="E15" s="35">
        <v>3614</v>
      </c>
      <c r="F15" s="35">
        <v>4382</v>
      </c>
      <c r="G15" s="35">
        <v>10897</v>
      </c>
      <c r="H15" s="35">
        <v>11210</v>
      </c>
      <c r="I15" s="35">
        <v>6114.5</v>
      </c>
      <c r="J15" s="36">
        <f>SUM(C15:I15)</f>
        <v>39572.5</v>
      </c>
      <c r="K15" s="40">
        <f>(J15-J14)/J14</f>
        <v>-8.6022126244312533E-2</v>
      </c>
      <c r="L15" s="38"/>
    </row>
    <row r="16" spans="1:15" ht="25" customHeight="1" x14ac:dyDescent="0.15">
      <c r="A16" s="45">
        <f t="shared" si="1"/>
        <v>45754</v>
      </c>
      <c r="B16" s="45">
        <f t="shared" si="0"/>
        <v>45760</v>
      </c>
      <c r="C16" s="35">
        <v>2556</v>
      </c>
      <c r="D16" s="35">
        <v>0</v>
      </c>
      <c r="E16" s="35">
        <v>2715</v>
      </c>
      <c r="F16" s="35">
        <v>5123</v>
      </c>
      <c r="G16" s="35">
        <v>9878</v>
      </c>
      <c r="H16" s="35">
        <v>12989</v>
      </c>
      <c r="I16" s="35">
        <v>4164</v>
      </c>
      <c r="J16" s="36">
        <f>SUM(C16:I16)</f>
        <v>37425</v>
      </c>
      <c r="K16" s="40">
        <f>(J16-J15)/J15</f>
        <v>-5.4267483732389918E-2</v>
      </c>
      <c r="L16" s="38"/>
    </row>
    <row r="17" spans="1:12" ht="25" customHeight="1" x14ac:dyDescent="0.15">
      <c r="A17" s="45">
        <f t="shared" si="1"/>
        <v>45761</v>
      </c>
      <c r="B17" s="45">
        <f t="shared" si="0"/>
        <v>45767</v>
      </c>
      <c r="C17" s="35">
        <v>3225</v>
      </c>
      <c r="D17" s="35">
        <v>0</v>
      </c>
      <c r="E17" s="35">
        <v>3603</v>
      </c>
      <c r="F17" s="35">
        <v>4944</v>
      </c>
      <c r="G17" s="35">
        <v>11764</v>
      </c>
      <c r="H17" s="35">
        <v>11381</v>
      </c>
      <c r="I17" s="35">
        <v>2925</v>
      </c>
      <c r="J17" s="36">
        <f>SUM(C17:I17)</f>
        <v>37842</v>
      </c>
      <c r="K17" s="40">
        <f>(J17-J16)/J16</f>
        <v>1.1142284569138277E-2</v>
      </c>
      <c r="L17" s="38" t="s">
        <v>34</v>
      </c>
    </row>
    <row r="18" spans="1:12" ht="25" customHeight="1" x14ac:dyDescent="0.15">
      <c r="A18" s="45">
        <f t="shared" si="1"/>
        <v>45768</v>
      </c>
      <c r="B18" s="45">
        <f t="shared" si="0"/>
        <v>45774</v>
      </c>
      <c r="C18" s="35">
        <v>2902</v>
      </c>
      <c r="D18" s="35">
        <v>0</v>
      </c>
      <c r="E18" s="35">
        <v>3032</v>
      </c>
      <c r="F18" s="35">
        <v>4640</v>
      </c>
      <c r="G18" s="35">
        <v>10664</v>
      </c>
      <c r="H18" s="35">
        <v>11291</v>
      </c>
      <c r="I18" s="35">
        <v>2941</v>
      </c>
      <c r="J18" s="36">
        <f>SUM(C18:I18)</f>
        <v>35470</v>
      </c>
      <c r="K18" s="40">
        <f>(J18-J17)/J17</f>
        <v>-6.2681676444162573E-2</v>
      </c>
      <c r="L18" s="38"/>
    </row>
    <row r="19" spans="1:12" ht="25" customHeight="1" x14ac:dyDescent="0.15">
      <c r="A19" s="45">
        <f t="shared" si="1"/>
        <v>45775</v>
      </c>
      <c r="B19" s="45">
        <f t="shared" si="0"/>
        <v>45781</v>
      </c>
      <c r="C19" s="35">
        <v>2822</v>
      </c>
      <c r="D19" s="35">
        <v>0</v>
      </c>
      <c r="E19" s="35">
        <v>2386</v>
      </c>
      <c r="F19" s="35">
        <v>6288</v>
      </c>
      <c r="G19" s="35">
        <v>11945</v>
      </c>
      <c r="H19" s="35">
        <v>12110</v>
      </c>
      <c r="I19" s="35">
        <v>4341</v>
      </c>
      <c r="J19" s="36">
        <f>SUM(C19:I19)</f>
        <v>39892</v>
      </c>
      <c r="K19" s="40">
        <f>(J19-J18)/J18</f>
        <v>0.12466873414152806</v>
      </c>
      <c r="L19" s="38" t="s">
        <v>35</v>
      </c>
    </row>
    <row r="20" spans="1:12" ht="25" customHeight="1" x14ac:dyDescent="0.15">
      <c r="A20" s="45">
        <f t="shared" si="1"/>
        <v>45782</v>
      </c>
      <c r="B20" s="45">
        <f t="shared" si="0"/>
        <v>45788</v>
      </c>
      <c r="C20" s="35">
        <v>1474</v>
      </c>
      <c r="D20" s="35">
        <v>0</v>
      </c>
      <c r="E20" s="35">
        <v>4041</v>
      </c>
      <c r="F20" s="35">
        <v>3588</v>
      </c>
      <c r="G20" s="35">
        <v>11708</v>
      </c>
      <c r="H20" s="35">
        <v>14558</v>
      </c>
      <c r="I20" s="34">
        <v>15587.75</v>
      </c>
      <c r="J20" s="36">
        <f>SUM(C20:I20)</f>
        <v>50956.75</v>
      </c>
      <c r="K20" s="40">
        <f>(J20-J19)/J19</f>
        <v>0.27736764263511482</v>
      </c>
      <c r="L20" s="38" t="s">
        <v>36</v>
      </c>
    </row>
    <row r="21" spans="1:12" ht="25" customHeight="1" x14ac:dyDescent="0.15">
      <c r="A21" s="45">
        <f t="shared" si="1"/>
        <v>45789</v>
      </c>
      <c r="B21" s="45">
        <f t="shared" si="0"/>
        <v>45795</v>
      </c>
      <c r="C21" s="35">
        <v>3653</v>
      </c>
      <c r="D21" s="35">
        <v>0</v>
      </c>
      <c r="E21" s="35">
        <v>4927</v>
      </c>
      <c r="F21" s="35">
        <v>5650</v>
      </c>
      <c r="G21" s="35">
        <v>11726</v>
      </c>
      <c r="H21" s="35">
        <v>13835</v>
      </c>
      <c r="I21" s="35">
        <v>8377</v>
      </c>
      <c r="J21" s="36">
        <f>SUM(C21:I21)</f>
        <v>48168</v>
      </c>
      <c r="K21" s="40">
        <f>(J21-J20)/J20</f>
        <v>-5.4727783855917027E-2</v>
      </c>
      <c r="L21" s="38" t="s">
        <v>37</v>
      </c>
    </row>
    <row r="22" spans="1:12" ht="25" customHeight="1" x14ac:dyDescent="0.15">
      <c r="A22" s="45">
        <f t="shared" si="1"/>
        <v>45796</v>
      </c>
      <c r="B22" s="45">
        <f t="shared" si="0"/>
        <v>45802</v>
      </c>
      <c r="C22" s="35">
        <v>3299</v>
      </c>
      <c r="D22" s="35">
        <v>0</v>
      </c>
      <c r="E22" s="35">
        <v>5200</v>
      </c>
      <c r="F22" s="35">
        <v>4369</v>
      </c>
      <c r="G22" s="35">
        <v>14274</v>
      </c>
      <c r="H22" s="35">
        <v>10887</v>
      </c>
      <c r="I22" s="35">
        <v>7599</v>
      </c>
      <c r="J22" s="36">
        <f>SUM(C22:I22)</f>
        <v>45628</v>
      </c>
      <c r="K22" s="40">
        <f>(J22-J21)/J21</f>
        <v>-5.273210430161103E-2</v>
      </c>
      <c r="L22" s="38" t="s">
        <v>38</v>
      </c>
    </row>
    <row r="23" spans="1:12" ht="25" customHeight="1" x14ac:dyDescent="0.15">
      <c r="A23" s="45">
        <f t="shared" si="1"/>
        <v>45803</v>
      </c>
      <c r="B23" s="45">
        <f t="shared" si="0"/>
        <v>45809</v>
      </c>
      <c r="C23" s="35">
        <v>0</v>
      </c>
      <c r="D23" s="35">
        <v>0</v>
      </c>
      <c r="E23" s="35">
        <v>7149</v>
      </c>
      <c r="F23" s="35">
        <v>6069</v>
      </c>
      <c r="G23" s="35">
        <v>11483</v>
      </c>
      <c r="H23" s="35">
        <v>13634</v>
      </c>
      <c r="I23" s="35">
        <v>8915</v>
      </c>
      <c r="J23" s="36">
        <f>SUM(C23:I23)</f>
        <v>47250</v>
      </c>
      <c r="K23" s="40">
        <f>(J23-J22)/J22</f>
        <v>3.554834750591742E-2</v>
      </c>
      <c r="L23" s="38" t="s">
        <v>39</v>
      </c>
    </row>
    <row r="24" spans="1:12" ht="25" customHeight="1" x14ac:dyDescent="0.15">
      <c r="A24" s="45">
        <f t="shared" si="1"/>
        <v>45810</v>
      </c>
      <c r="B24" s="45">
        <f t="shared" si="0"/>
        <v>45816</v>
      </c>
      <c r="C24" s="35">
        <v>5029</v>
      </c>
      <c r="D24" s="35">
        <v>0</v>
      </c>
      <c r="E24" s="35">
        <v>6096</v>
      </c>
      <c r="F24" s="35">
        <v>6515.6</v>
      </c>
      <c r="G24" s="35">
        <v>14041</v>
      </c>
      <c r="H24" s="35">
        <v>11141</v>
      </c>
      <c r="I24" s="35">
        <v>9759</v>
      </c>
      <c r="J24" s="36">
        <f>SUM(C24:I24)</f>
        <v>52581.599999999999</v>
      </c>
      <c r="K24" s="40">
        <f>(J24-J23)/J23</f>
        <v>0.11283809523809521</v>
      </c>
      <c r="L24" s="38" t="s">
        <v>40</v>
      </c>
    </row>
    <row r="25" spans="1:12" ht="25" customHeight="1" x14ac:dyDescent="0.15">
      <c r="A25" s="45">
        <f t="shared" si="1"/>
        <v>45817</v>
      </c>
      <c r="B25" s="45">
        <f t="shared" si="0"/>
        <v>45823</v>
      </c>
      <c r="C25" s="35">
        <v>2645</v>
      </c>
      <c r="D25" s="35">
        <v>3642</v>
      </c>
      <c r="E25" s="35">
        <v>7078</v>
      </c>
      <c r="F25" s="35">
        <v>7233</v>
      </c>
      <c r="G25" s="35">
        <v>11281</v>
      </c>
      <c r="H25" s="35">
        <v>13107</v>
      </c>
      <c r="I25" s="34">
        <v>11280</v>
      </c>
      <c r="J25" s="36">
        <f>SUM(C25:I25)</f>
        <v>56266</v>
      </c>
      <c r="K25" s="40">
        <f>(J25-J24)/J24</f>
        <v>7.0070138603618021E-2</v>
      </c>
      <c r="L25" s="38" t="s">
        <v>41</v>
      </c>
    </row>
    <row r="26" spans="1:12" ht="25" customHeight="1" x14ac:dyDescent="0.15">
      <c r="A26" s="45">
        <f t="shared" si="1"/>
        <v>45824</v>
      </c>
      <c r="B26" s="45">
        <f t="shared" si="0"/>
        <v>45830</v>
      </c>
      <c r="C26" s="35">
        <v>5699</v>
      </c>
      <c r="D26" s="35">
        <v>3610</v>
      </c>
      <c r="E26" s="35">
        <v>6183</v>
      </c>
      <c r="F26" s="35">
        <v>7379</v>
      </c>
      <c r="G26" s="35">
        <v>13357</v>
      </c>
      <c r="H26" s="35">
        <v>10515</v>
      </c>
      <c r="I26" s="35">
        <v>4292</v>
      </c>
      <c r="J26" s="36">
        <f>SUM(C26:I26)</f>
        <v>51035</v>
      </c>
      <c r="K26" s="40">
        <f>(J26-J25)/J25</f>
        <v>-9.2969111008424268E-2</v>
      </c>
      <c r="L26" s="38" t="s">
        <v>42</v>
      </c>
    </row>
    <row r="27" spans="1:12" ht="25" customHeight="1" x14ac:dyDescent="0.15">
      <c r="A27" s="45">
        <f t="shared" si="1"/>
        <v>45831</v>
      </c>
      <c r="B27" s="45">
        <f t="shared" si="0"/>
        <v>45837</v>
      </c>
      <c r="C27" s="35">
        <v>7438</v>
      </c>
      <c r="D27" s="35">
        <v>4199</v>
      </c>
      <c r="E27" s="35">
        <v>5973</v>
      </c>
      <c r="F27" s="35">
        <v>6621</v>
      </c>
      <c r="G27" s="35">
        <v>13845</v>
      </c>
      <c r="H27" s="35">
        <v>10373</v>
      </c>
      <c r="I27" s="35">
        <v>6176</v>
      </c>
      <c r="J27" s="41">
        <f>SUM(C27:I27)</f>
        <v>54625</v>
      </c>
      <c r="K27" s="42">
        <f>(J27-J26)/J26</f>
        <v>7.0343881649848145E-2</v>
      </c>
      <c r="L27" s="38"/>
    </row>
    <row r="28" spans="1:12" ht="25" customHeight="1" x14ac:dyDescent="0.15">
      <c r="A28" s="45">
        <f t="shared" si="1"/>
        <v>45838</v>
      </c>
      <c r="B28" s="45">
        <f t="shared" si="0"/>
        <v>45844</v>
      </c>
      <c r="C28" s="35">
        <v>6375</v>
      </c>
      <c r="D28" s="35">
        <v>5681.21</v>
      </c>
      <c r="E28" s="35">
        <v>6488.35</v>
      </c>
      <c r="F28" s="35">
        <v>8029</v>
      </c>
      <c r="G28" s="35">
        <v>0</v>
      </c>
      <c r="H28" s="35">
        <v>12305</v>
      </c>
      <c r="I28" s="35">
        <v>6869</v>
      </c>
      <c r="J28" s="41">
        <f>SUM(C28:I28)</f>
        <v>45747.56</v>
      </c>
      <c r="K28" s="42">
        <f>(J28-J27)/J27</f>
        <v>-0.16251606407322658</v>
      </c>
      <c r="L28" s="38" t="s">
        <v>43</v>
      </c>
    </row>
    <row r="29" spans="1:12" ht="25" customHeight="1" x14ac:dyDescent="0.15">
      <c r="A29" s="45">
        <f t="shared" si="1"/>
        <v>45845</v>
      </c>
      <c r="B29" s="45">
        <f t="shared" si="0"/>
        <v>45851</v>
      </c>
      <c r="C29" s="35">
        <v>6764</v>
      </c>
      <c r="D29" s="35">
        <v>5309</v>
      </c>
      <c r="E29" s="35">
        <v>7278</v>
      </c>
      <c r="F29" s="35">
        <v>5915</v>
      </c>
      <c r="G29" s="35">
        <v>14449</v>
      </c>
      <c r="H29" s="35">
        <v>13112</v>
      </c>
      <c r="I29" s="35">
        <v>11000</v>
      </c>
      <c r="J29" s="43">
        <f>SUM(C29:I29)</f>
        <v>63827</v>
      </c>
      <c r="K29" s="42">
        <f>(J29-J28)/J28</f>
        <v>0.39520009373177506</v>
      </c>
      <c r="L29" s="38" t="s">
        <v>44</v>
      </c>
    </row>
    <row r="30" spans="1:12" ht="25" customHeight="1" x14ac:dyDescent="0.15">
      <c r="A30" s="45">
        <f t="shared" si="1"/>
        <v>45852</v>
      </c>
      <c r="B30" s="45">
        <f t="shared" si="0"/>
        <v>45858</v>
      </c>
      <c r="C30" s="35">
        <v>5011</v>
      </c>
      <c r="D30" s="35">
        <v>5817</v>
      </c>
      <c r="E30" s="35">
        <v>5543</v>
      </c>
      <c r="F30" s="35">
        <v>6711</v>
      </c>
      <c r="G30" s="34">
        <v>16873</v>
      </c>
      <c r="H30" s="35">
        <v>13415</v>
      </c>
      <c r="I30" s="35">
        <v>6479</v>
      </c>
      <c r="J30" s="41">
        <f>SUM(C30:I30)</f>
        <v>59849</v>
      </c>
      <c r="K30" s="42">
        <f>(J30-J29)/J29</f>
        <v>-6.2324721512839396E-2</v>
      </c>
      <c r="L30" s="38" t="s">
        <v>45</v>
      </c>
    </row>
    <row r="31" spans="1:12" ht="25" customHeight="1" x14ac:dyDescent="0.15">
      <c r="A31" s="45">
        <f t="shared" si="1"/>
        <v>45859</v>
      </c>
      <c r="B31" s="45">
        <f t="shared" si="0"/>
        <v>45865</v>
      </c>
      <c r="C31" s="35">
        <v>6081</v>
      </c>
      <c r="D31" s="35">
        <v>5745</v>
      </c>
      <c r="E31" s="35">
        <v>7414</v>
      </c>
      <c r="F31" s="35">
        <v>6358</v>
      </c>
      <c r="G31" s="35">
        <v>13744</v>
      </c>
      <c r="H31" s="35">
        <v>14022</v>
      </c>
      <c r="I31" s="35">
        <v>6742</v>
      </c>
      <c r="J31" s="43">
        <f>SUM(C31:I31)</f>
        <v>60106</v>
      </c>
      <c r="K31" s="42">
        <f>(J31-J30)/J30</f>
        <v>4.2941402529699741E-3</v>
      </c>
      <c r="L31" s="38" t="s">
        <v>46</v>
      </c>
    </row>
    <row r="32" spans="1:12" ht="25" customHeight="1" x14ac:dyDescent="0.15">
      <c r="A32" s="45">
        <f t="shared" si="1"/>
        <v>45866</v>
      </c>
      <c r="B32" s="45">
        <f t="shared" si="0"/>
        <v>45872</v>
      </c>
      <c r="C32" s="35">
        <v>3918</v>
      </c>
      <c r="D32" s="35">
        <v>7936</v>
      </c>
      <c r="E32" s="35">
        <v>6008</v>
      </c>
      <c r="F32" s="35">
        <v>9240</v>
      </c>
      <c r="G32" s="35">
        <v>11730</v>
      </c>
      <c r="H32" s="35">
        <v>15364</v>
      </c>
      <c r="I32" s="35">
        <v>10282</v>
      </c>
      <c r="J32" s="43">
        <f>SUM(C32:I32)</f>
        <v>64478</v>
      </c>
      <c r="K32" s="42">
        <f>(J32-J31)/J31</f>
        <v>7.2738162579442989E-2</v>
      </c>
      <c r="L32" s="38" t="s">
        <v>47</v>
      </c>
    </row>
    <row r="33" spans="1:12" ht="25" customHeight="1" x14ac:dyDescent="0.15">
      <c r="A33" s="45">
        <f t="shared" si="1"/>
        <v>45873</v>
      </c>
      <c r="B33" s="45">
        <f t="shared" si="0"/>
        <v>45879</v>
      </c>
      <c r="C33" s="35">
        <v>6073</v>
      </c>
      <c r="D33" s="35">
        <v>5708</v>
      </c>
      <c r="E33" s="35">
        <v>6711</v>
      </c>
      <c r="F33" s="35">
        <v>8123</v>
      </c>
      <c r="G33" s="35">
        <v>13972</v>
      </c>
      <c r="H33" s="35">
        <v>15070</v>
      </c>
      <c r="I33" s="35">
        <v>8652</v>
      </c>
      <c r="J33" s="43">
        <f>SUM(C33:I33)</f>
        <v>64309</v>
      </c>
      <c r="K33" s="42">
        <f>(J33-J32)/J32</f>
        <v>-2.6210490399826299E-3</v>
      </c>
      <c r="L33" s="38"/>
    </row>
    <row r="34" spans="1:12" ht="25" customHeight="1" x14ac:dyDescent="0.15">
      <c r="A34" s="45">
        <f t="shared" si="1"/>
        <v>45880</v>
      </c>
      <c r="B34" s="45">
        <f t="shared" si="0"/>
        <v>45886</v>
      </c>
      <c r="C34" s="35">
        <v>5197</v>
      </c>
      <c r="D34" s="35">
        <v>5086</v>
      </c>
      <c r="E34" s="35">
        <v>6911</v>
      </c>
      <c r="F34" s="35">
        <v>6886</v>
      </c>
      <c r="G34" s="35">
        <v>13693</v>
      </c>
      <c r="H34" s="35">
        <v>14804</v>
      </c>
      <c r="I34" s="35">
        <v>7394</v>
      </c>
      <c r="J34" s="41">
        <f>SUM(C34:I34)</f>
        <v>59971</v>
      </c>
      <c r="K34" s="42">
        <f>(J34-J33)/J33</f>
        <v>-6.7455566094947836E-2</v>
      </c>
      <c r="L34" s="38"/>
    </row>
    <row r="35" spans="1:12" ht="25" customHeight="1" x14ac:dyDescent="0.15">
      <c r="A35" s="45">
        <f t="shared" si="1"/>
        <v>45887</v>
      </c>
      <c r="B35" s="45">
        <f t="shared" si="0"/>
        <v>45893</v>
      </c>
      <c r="C35" s="35">
        <v>3575</v>
      </c>
      <c r="D35" s="35">
        <v>4779</v>
      </c>
      <c r="E35" s="35">
        <v>5661</v>
      </c>
      <c r="F35" s="35">
        <v>6342</v>
      </c>
      <c r="G35" s="35">
        <v>15975</v>
      </c>
      <c r="H35" s="34">
        <v>16131</v>
      </c>
      <c r="I35" s="35">
        <v>9120.5</v>
      </c>
      <c r="J35" s="43">
        <f>SUM(C35:I35)</f>
        <v>61583.5</v>
      </c>
      <c r="K35" s="42">
        <f>(J35-J34)/J34</f>
        <v>2.6887995864667922E-2</v>
      </c>
      <c r="L35" s="38" t="s">
        <v>48</v>
      </c>
    </row>
    <row r="36" spans="1:12" ht="41" customHeight="1" x14ac:dyDescent="0.15">
      <c r="A36" s="45">
        <f t="shared" si="1"/>
        <v>45894</v>
      </c>
      <c r="B36" s="45">
        <f t="shared" si="0"/>
        <v>45900</v>
      </c>
      <c r="C36" s="35">
        <v>2698</v>
      </c>
      <c r="D36" s="35">
        <v>2947</v>
      </c>
      <c r="E36" s="35">
        <v>6142</v>
      </c>
      <c r="F36" s="35">
        <v>4241</v>
      </c>
      <c r="G36" s="44">
        <v>8497</v>
      </c>
      <c r="H36" s="35">
        <v>14041</v>
      </c>
      <c r="I36" s="34">
        <v>13380</v>
      </c>
      <c r="J36" s="41">
        <f>SUM(C36:I36)</f>
        <v>51946</v>
      </c>
      <c r="K36" s="42">
        <f>(J36-J35)/J35</f>
        <v>-0.1564948403387271</v>
      </c>
      <c r="L36" s="38" t="s">
        <v>49</v>
      </c>
    </row>
    <row r="37" spans="1:12" ht="25" customHeight="1" x14ac:dyDescent="0.15">
      <c r="A37" s="45">
        <f t="shared" si="1"/>
        <v>45901</v>
      </c>
      <c r="B37" s="45">
        <f t="shared" si="0"/>
        <v>45907</v>
      </c>
      <c r="C37" s="35">
        <v>6449</v>
      </c>
      <c r="D37" s="35">
        <v>3456</v>
      </c>
      <c r="E37" s="35">
        <v>3635</v>
      </c>
      <c r="F37" s="35">
        <v>5991</v>
      </c>
      <c r="G37" s="35">
        <v>10842</v>
      </c>
      <c r="H37" s="35">
        <v>12760</v>
      </c>
      <c r="I37" s="35">
        <v>6012</v>
      </c>
      <c r="J37" s="41">
        <f>SUM(C37:I37)</f>
        <v>49145</v>
      </c>
      <c r="K37" s="42">
        <f>(J37-J36)/J36</f>
        <v>-5.3921379894505836E-2</v>
      </c>
      <c r="L37" s="38" t="s">
        <v>50</v>
      </c>
    </row>
    <row r="38" spans="1:12" ht="25" customHeight="1" x14ac:dyDescent="0.15">
      <c r="A38" s="45">
        <f t="shared" si="1"/>
        <v>45908</v>
      </c>
      <c r="B38" s="45">
        <f t="shared" si="0"/>
        <v>45914</v>
      </c>
      <c r="C38" s="35">
        <v>2661</v>
      </c>
      <c r="D38" s="35">
        <v>2563.35</v>
      </c>
      <c r="E38" s="35">
        <v>5835.75</v>
      </c>
      <c r="F38" s="35">
        <v>5231</v>
      </c>
      <c r="G38" s="35">
        <v>12468</v>
      </c>
      <c r="H38" s="34">
        <v>15258</v>
      </c>
      <c r="I38" s="35">
        <v>5234.8</v>
      </c>
      <c r="J38" s="41">
        <f>SUM(C38:I38)</f>
        <v>49251.9</v>
      </c>
      <c r="K38" s="42">
        <f>(J38-J37)/J37</f>
        <v>2.1751958490182411E-3</v>
      </c>
      <c r="L38" s="38" t="s">
        <v>51</v>
      </c>
    </row>
    <row r="39" spans="1:12" ht="25" customHeight="1" x14ac:dyDescent="0.15">
      <c r="A39" s="45">
        <f t="shared" si="1"/>
        <v>45915</v>
      </c>
      <c r="B39" s="45">
        <f t="shared" si="0"/>
        <v>45921</v>
      </c>
      <c r="C39" s="35">
        <v>3043</v>
      </c>
      <c r="D39" s="35">
        <v>3816</v>
      </c>
      <c r="E39" s="35">
        <v>4941</v>
      </c>
      <c r="F39" s="35">
        <v>4566</v>
      </c>
      <c r="G39" s="35">
        <v>13164</v>
      </c>
      <c r="H39" s="35">
        <v>11857</v>
      </c>
      <c r="I39" s="35">
        <v>4925</v>
      </c>
      <c r="J39" s="41">
        <f>SUM(C39:I39)</f>
        <v>46312</v>
      </c>
      <c r="K39" s="42">
        <f>(J39-J38)/J38</f>
        <v>-5.9691098211439586E-2</v>
      </c>
      <c r="L39" s="38" t="s">
        <v>52</v>
      </c>
    </row>
    <row r="40" spans="1:12" ht="25" customHeight="1" x14ac:dyDescent="0.15">
      <c r="A40" s="45">
        <f t="shared" si="1"/>
        <v>45922</v>
      </c>
      <c r="B40" s="45">
        <f t="shared" si="0"/>
        <v>45928</v>
      </c>
      <c r="C40" s="35">
        <v>3098</v>
      </c>
      <c r="D40" s="35">
        <v>3673</v>
      </c>
      <c r="E40" s="35">
        <v>5523</v>
      </c>
      <c r="F40" s="35">
        <v>4672</v>
      </c>
      <c r="G40" s="35">
        <v>14017</v>
      </c>
      <c r="H40" s="35">
        <v>15065</v>
      </c>
      <c r="I40" s="35">
        <v>6656</v>
      </c>
      <c r="J40" s="41">
        <f>SUM(C40:I40)</f>
        <v>52704</v>
      </c>
      <c r="K40" s="42">
        <f>(J40-J39)/J39</f>
        <v>0.13802038348592158</v>
      </c>
      <c r="L40" s="38" t="s">
        <v>53</v>
      </c>
    </row>
    <row r="41" spans="1:12" ht="25" customHeight="1" x14ac:dyDescent="0.15">
      <c r="A41" s="45">
        <f t="shared" si="1"/>
        <v>45929</v>
      </c>
      <c r="B41" s="45">
        <f t="shared" si="0"/>
        <v>45935</v>
      </c>
      <c r="C41" s="35">
        <v>5288</v>
      </c>
      <c r="D41" s="35">
        <v>4115</v>
      </c>
      <c r="E41" s="35">
        <v>4060</v>
      </c>
      <c r="F41" s="35">
        <v>4905.3500000000004</v>
      </c>
      <c r="G41" s="35">
        <v>12463</v>
      </c>
      <c r="H41" s="35">
        <v>14157</v>
      </c>
      <c r="I41" s="35">
        <v>6136</v>
      </c>
      <c r="J41" s="41">
        <f>SUM(C41:I41)</f>
        <v>51124.35</v>
      </c>
      <c r="K41" s="42">
        <f>(J41-J40)/J40</f>
        <v>-2.9972108378870703E-2</v>
      </c>
      <c r="L41" s="38" t="s">
        <v>54</v>
      </c>
    </row>
    <row r="42" spans="1:12" ht="25" customHeight="1" x14ac:dyDescent="0.15">
      <c r="A42" s="45">
        <f t="shared" si="1"/>
        <v>45936</v>
      </c>
      <c r="B42" s="45">
        <f t="shared" si="0"/>
        <v>45942</v>
      </c>
      <c r="C42" s="35">
        <v>3590</v>
      </c>
      <c r="D42" s="35">
        <v>3100</v>
      </c>
      <c r="E42" s="35">
        <v>4487</v>
      </c>
      <c r="F42" s="35">
        <v>4065</v>
      </c>
      <c r="G42" s="35">
        <v>10992</v>
      </c>
      <c r="H42" s="35">
        <v>11743</v>
      </c>
      <c r="I42" s="35">
        <v>8789</v>
      </c>
      <c r="J42" s="41">
        <f>SUM(C42:I42)</f>
        <v>46766</v>
      </c>
      <c r="K42" s="42">
        <f>(J42-J41)/J41</f>
        <v>-8.5249983618373604E-2</v>
      </c>
      <c r="L42" s="38" t="s">
        <v>55</v>
      </c>
    </row>
    <row r="43" spans="1:12" ht="25" customHeight="1" x14ac:dyDescent="0.15">
      <c r="A43" s="45">
        <f t="shared" si="1"/>
        <v>45943</v>
      </c>
      <c r="B43" s="45">
        <f t="shared" si="0"/>
        <v>45949</v>
      </c>
      <c r="C43" s="35">
        <v>3266</v>
      </c>
      <c r="D43" s="35">
        <v>2345</v>
      </c>
      <c r="E43" s="35">
        <v>2635</v>
      </c>
      <c r="F43" s="34">
        <v>7266</v>
      </c>
      <c r="G43" s="35">
        <v>11749</v>
      </c>
      <c r="H43" s="35">
        <v>13520</v>
      </c>
      <c r="I43" s="35">
        <v>4459</v>
      </c>
      <c r="J43" s="41">
        <f>SUM(C43:I43)</f>
        <v>45240</v>
      </c>
      <c r="K43" s="42">
        <f>(J43-J42)/J42</f>
        <v>-3.2630543557285209E-2</v>
      </c>
      <c r="L43" s="38" t="s">
        <v>56</v>
      </c>
    </row>
    <row r="44" spans="1:12" ht="25" customHeight="1" x14ac:dyDescent="0.15">
      <c r="A44" s="45">
        <f t="shared" si="1"/>
        <v>45950</v>
      </c>
      <c r="B44" s="45">
        <f t="shared" si="0"/>
        <v>45956</v>
      </c>
      <c r="C44" s="35">
        <v>4119</v>
      </c>
      <c r="D44" s="35">
        <v>1931</v>
      </c>
      <c r="E44" s="35">
        <v>3068</v>
      </c>
      <c r="F44" s="35">
        <v>4409</v>
      </c>
      <c r="G44" s="35">
        <v>11477</v>
      </c>
      <c r="H44" s="35">
        <v>13747</v>
      </c>
      <c r="I44" s="35">
        <v>5533</v>
      </c>
      <c r="J44" s="41">
        <f>SUM(C44:I44)</f>
        <v>44284</v>
      </c>
      <c r="K44" s="42">
        <f>(J44-J43)/J43</f>
        <v>-2.1131741821396995E-2</v>
      </c>
      <c r="L44" s="38" t="s">
        <v>57</v>
      </c>
    </row>
    <row r="45" spans="1:12" ht="25" customHeight="1" x14ac:dyDescent="0.15">
      <c r="A45" s="45">
        <f t="shared" si="1"/>
        <v>45957</v>
      </c>
      <c r="B45" s="45">
        <f t="shared" si="0"/>
        <v>45963</v>
      </c>
      <c r="C45" s="35">
        <v>3461</v>
      </c>
      <c r="D45" s="35">
        <v>2532</v>
      </c>
      <c r="E45" s="35">
        <v>3353</v>
      </c>
      <c r="F45" s="35">
        <v>3623</v>
      </c>
      <c r="G45" s="44">
        <v>5733</v>
      </c>
      <c r="H45" s="35">
        <v>12342</v>
      </c>
      <c r="I45" s="35">
        <v>4005</v>
      </c>
      <c r="J45" s="41">
        <f>SUM(C45:I45)</f>
        <v>35049</v>
      </c>
      <c r="K45" s="42">
        <f>(J45-J44)/J44</f>
        <v>-0.20854033059344232</v>
      </c>
      <c r="L45" s="38" t="s">
        <v>58</v>
      </c>
    </row>
    <row r="46" spans="1:12" ht="25" customHeight="1" x14ac:dyDescent="0.15">
      <c r="A46" s="45">
        <f t="shared" si="1"/>
        <v>45964</v>
      </c>
      <c r="B46" s="45">
        <f t="shared" si="0"/>
        <v>45970</v>
      </c>
      <c r="C46" s="35">
        <v>2245</v>
      </c>
      <c r="D46" s="35">
        <v>2561</v>
      </c>
      <c r="E46" s="44">
        <v>1389</v>
      </c>
      <c r="F46" s="35">
        <v>3618</v>
      </c>
      <c r="G46" s="35">
        <v>12908</v>
      </c>
      <c r="H46" s="35">
        <v>12546</v>
      </c>
      <c r="I46" s="35">
        <v>4186</v>
      </c>
      <c r="J46" s="41">
        <f>SUM(C46:I46)</f>
        <v>39453</v>
      </c>
      <c r="K46" s="42">
        <f>(J46-J45)/J45</f>
        <v>0.12565265770778053</v>
      </c>
      <c r="L46" s="38" t="s">
        <v>59</v>
      </c>
    </row>
    <row r="47" spans="1:12" ht="25" customHeight="1" x14ac:dyDescent="0.15">
      <c r="A47" s="45">
        <f t="shared" si="1"/>
        <v>45971</v>
      </c>
      <c r="B47" s="45">
        <f t="shared" si="0"/>
        <v>45977</v>
      </c>
      <c r="C47" s="35">
        <v>2601</v>
      </c>
      <c r="D47" s="35">
        <v>3364</v>
      </c>
      <c r="E47" s="35">
        <v>3321</v>
      </c>
      <c r="F47" s="35">
        <v>5952</v>
      </c>
      <c r="G47" s="35">
        <v>11418</v>
      </c>
      <c r="H47" s="35">
        <v>13674</v>
      </c>
      <c r="I47" s="35">
        <v>4308</v>
      </c>
      <c r="J47" s="41">
        <f>SUM(C47:I47)</f>
        <v>44638</v>
      </c>
      <c r="K47" s="42">
        <f>(J47-J46)/J46</f>
        <v>0.13142219856538159</v>
      </c>
      <c r="L47" s="38" t="s">
        <v>60</v>
      </c>
    </row>
    <row r="48" spans="1:12" ht="25" customHeight="1" x14ac:dyDescent="0.15">
      <c r="A48" s="45">
        <f t="shared" si="1"/>
        <v>45978</v>
      </c>
      <c r="B48" s="45">
        <f t="shared" si="0"/>
        <v>45984</v>
      </c>
      <c r="C48" s="35">
        <v>2536</v>
      </c>
      <c r="D48" s="35">
        <v>1741</v>
      </c>
      <c r="E48" s="35">
        <v>2386</v>
      </c>
      <c r="F48" s="35">
        <v>5095</v>
      </c>
      <c r="G48" s="35">
        <v>12000</v>
      </c>
      <c r="H48" s="44">
        <v>9924</v>
      </c>
      <c r="I48" s="35">
        <v>5784</v>
      </c>
      <c r="J48" s="41">
        <f>SUM(C48:I48)</f>
        <v>39466</v>
      </c>
      <c r="K48" s="42">
        <f>(J48-J47)/J47</f>
        <v>-0.11586540615618979</v>
      </c>
      <c r="L48" s="38" t="s">
        <v>61</v>
      </c>
    </row>
    <row r="49" spans="1:12" ht="25" customHeight="1" x14ac:dyDescent="0.15">
      <c r="A49" s="45">
        <f t="shared" si="1"/>
        <v>45985</v>
      </c>
      <c r="B49" s="45">
        <f t="shared" si="0"/>
        <v>45991</v>
      </c>
      <c r="C49" s="35">
        <v>6811</v>
      </c>
      <c r="D49" s="35">
        <v>3222</v>
      </c>
      <c r="E49" s="35">
        <v>6388</v>
      </c>
      <c r="F49" s="35">
        <v>0</v>
      </c>
      <c r="G49" s="44">
        <v>9901</v>
      </c>
      <c r="H49" s="44">
        <v>5990</v>
      </c>
      <c r="I49" s="35">
        <v>4659</v>
      </c>
      <c r="J49" s="41">
        <f>SUM(C49:I49)</f>
        <v>36971</v>
      </c>
      <c r="K49" s="42">
        <f>(J49-J48)/J48</f>
        <v>-6.3218973293467789E-2</v>
      </c>
      <c r="L49" s="38" t="s">
        <v>62</v>
      </c>
    </row>
    <row r="50" spans="1:12" ht="25" customHeight="1" x14ac:dyDescent="0.15">
      <c r="A50" s="45">
        <f t="shared" si="1"/>
        <v>45992</v>
      </c>
      <c r="B50" s="45">
        <f t="shared" si="0"/>
        <v>45998</v>
      </c>
      <c r="C50" s="35">
        <v>1686</v>
      </c>
      <c r="D50" s="35">
        <v>1127</v>
      </c>
      <c r="E50" s="35">
        <v>2939</v>
      </c>
      <c r="F50" s="35">
        <v>4035</v>
      </c>
      <c r="G50" s="35">
        <v>10449</v>
      </c>
      <c r="H50" s="35">
        <v>9141</v>
      </c>
      <c r="I50" s="35">
        <v>2539</v>
      </c>
      <c r="J50" s="41">
        <f>SUM(C50:I50)</f>
        <v>31916</v>
      </c>
      <c r="K50" s="42">
        <f>(J50-J49)/J49</f>
        <v>-0.13672878742798408</v>
      </c>
      <c r="L50" s="38" t="s">
        <v>63</v>
      </c>
    </row>
    <row r="51" spans="1:12" ht="25" customHeight="1" x14ac:dyDescent="0.15">
      <c r="A51" s="45">
        <f t="shared" si="1"/>
        <v>45999</v>
      </c>
      <c r="B51" s="45">
        <f t="shared" si="0"/>
        <v>46005</v>
      </c>
      <c r="C51" s="35">
        <v>2088</v>
      </c>
      <c r="D51" s="35">
        <v>1468</v>
      </c>
      <c r="E51" s="35">
        <v>3216</v>
      </c>
      <c r="F51" s="35">
        <v>4556</v>
      </c>
      <c r="G51" s="34">
        <v>12447</v>
      </c>
      <c r="H51" s="35">
        <v>9706</v>
      </c>
      <c r="I51" s="35">
        <v>3866</v>
      </c>
      <c r="J51" s="41">
        <f>SUM(C51:I51)</f>
        <v>37347</v>
      </c>
      <c r="K51" s="42">
        <f>(J51-J50)/J50</f>
        <v>0.17016543426494549</v>
      </c>
      <c r="L51" s="38" t="s">
        <v>64</v>
      </c>
    </row>
    <row r="52" spans="1:12" ht="25" customHeight="1" x14ac:dyDescent="0.15">
      <c r="A52" s="45">
        <f t="shared" si="1"/>
        <v>46006</v>
      </c>
      <c r="B52" s="45">
        <f t="shared" si="0"/>
        <v>46012</v>
      </c>
      <c r="C52" s="35">
        <v>3103</v>
      </c>
      <c r="D52" s="35">
        <v>4584</v>
      </c>
      <c r="E52" s="35">
        <v>3267</v>
      </c>
      <c r="F52" s="35">
        <v>5452</v>
      </c>
      <c r="G52" s="35">
        <v>12374</v>
      </c>
      <c r="H52" s="35">
        <v>9168</v>
      </c>
      <c r="I52" s="35">
        <v>6634</v>
      </c>
      <c r="J52" s="41">
        <f>SUM(C52:I52)</f>
        <v>44582</v>
      </c>
      <c r="K52" s="42">
        <f>(J52-J51)/J51</f>
        <v>0.19372372613596808</v>
      </c>
      <c r="L52" s="38" t="s">
        <v>65</v>
      </c>
    </row>
    <row r="53" spans="1:12" ht="42" customHeight="1" x14ac:dyDescent="0.15">
      <c r="A53" s="45">
        <f t="shared" si="1"/>
        <v>46013</v>
      </c>
      <c r="B53" s="45">
        <f t="shared" si="0"/>
        <v>46019</v>
      </c>
      <c r="C53" s="34">
        <v>7771</v>
      </c>
      <c r="D53" s="34">
        <v>8775</v>
      </c>
      <c r="E53" s="35">
        <v>5742</v>
      </c>
      <c r="F53" s="35">
        <v>0</v>
      </c>
      <c r="G53" s="35">
        <v>10907</v>
      </c>
      <c r="H53" s="34">
        <v>12834</v>
      </c>
      <c r="I53" s="35">
        <v>4830</v>
      </c>
      <c r="J53" s="41">
        <f>SUM(C53:I53)</f>
        <v>50859</v>
      </c>
      <c r="K53" s="42">
        <f>(J53-J52)/J52</f>
        <v>0.14079673410793594</v>
      </c>
      <c r="L53" s="38" t="s">
        <v>66</v>
      </c>
    </row>
    <row r="54" spans="1:12" ht="25" customHeight="1" x14ac:dyDescent="0.15">
      <c r="A54" s="45">
        <f t="shared" si="1"/>
        <v>46020</v>
      </c>
      <c r="B54" s="45">
        <f t="shared" si="0"/>
        <v>46026</v>
      </c>
      <c r="C54" s="35">
        <v>6334</v>
      </c>
      <c r="D54" s="35">
        <v>5584</v>
      </c>
      <c r="E54" s="34">
        <v>7380</v>
      </c>
      <c r="F54" s="35">
        <v>6719</v>
      </c>
      <c r="G54" s="34">
        <v>13856</v>
      </c>
      <c r="H54" s="34">
        <v>13933</v>
      </c>
      <c r="I54" s="35">
        <v>4296</v>
      </c>
      <c r="J54" s="41">
        <f>SUM(C54:I54)</f>
        <v>58102</v>
      </c>
      <c r="K54" s="42">
        <f>(J54-J53)/J53</f>
        <v>0.14241333883875026</v>
      </c>
      <c r="L54" s="38" t="s">
        <v>67</v>
      </c>
    </row>
    <row r="55" spans="1:12" ht="25" customHeight="1" x14ac:dyDescent="0.15">
      <c r="A55" s="45">
        <f t="shared" si="1"/>
        <v>46027</v>
      </c>
      <c r="B55" s="45">
        <f t="shared" si="0"/>
        <v>46033</v>
      </c>
      <c r="C55" s="35">
        <v>2984</v>
      </c>
      <c r="D55" s="35">
        <v>0</v>
      </c>
      <c r="E55" s="35">
        <v>3565</v>
      </c>
      <c r="F55" s="35">
        <v>4486</v>
      </c>
      <c r="G55" s="35">
        <v>9995</v>
      </c>
      <c r="H55" s="44">
        <v>8115</v>
      </c>
      <c r="I55" s="35">
        <v>6482</v>
      </c>
      <c r="J55" s="41">
        <f>SUM(C55:I55)</f>
        <v>35627</v>
      </c>
      <c r="K55" s="42">
        <f>(J55-J54)/J54</f>
        <v>-0.38681973081821625</v>
      </c>
      <c r="L55" s="38" t="s">
        <v>68</v>
      </c>
    </row>
    <row r="56" spans="1:12" ht="25" customHeight="1" x14ac:dyDescent="0.15">
      <c r="A56" s="45">
        <f t="shared" si="1"/>
        <v>46034</v>
      </c>
      <c r="B56" s="45">
        <f t="shared" si="0"/>
        <v>46040</v>
      </c>
      <c r="C56" s="35">
        <v>2707</v>
      </c>
      <c r="D56" s="35">
        <v>2057</v>
      </c>
      <c r="E56" s="35">
        <v>2581</v>
      </c>
      <c r="F56" s="35">
        <v>4162</v>
      </c>
      <c r="G56" s="35">
        <v>12223</v>
      </c>
      <c r="H56" s="34">
        <v>13020</v>
      </c>
      <c r="I56" s="35">
        <v>2109</v>
      </c>
      <c r="J56" s="41">
        <f>SUM(C56:I56)</f>
        <v>38859</v>
      </c>
      <c r="K56" s="42">
        <f>(J56-J55)/J55</f>
        <v>9.071771409324389E-2</v>
      </c>
      <c r="L56" s="38" t="s">
        <v>69</v>
      </c>
    </row>
    <row r="57" spans="1:12" ht="25" customHeight="1" x14ac:dyDescent="0.15">
      <c r="A57" s="45">
        <f t="shared" si="1"/>
        <v>46041</v>
      </c>
      <c r="B57" s="45">
        <f t="shared" si="0"/>
        <v>46047</v>
      </c>
      <c r="C57" s="35">
        <v>3418</v>
      </c>
      <c r="D57" s="35">
        <v>2690</v>
      </c>
      <c r="E57" s="35">
        <v>2931</v>
      </c>
      <c r="F57" s="35">
        <v>2701</v>
      </c>
      <c r="G57" s="35">
        <v>8147</v>
      </c>
      <c r="H57" s="35">
        <v>12897</v>
      </c>
      <c r="I57" s="35">
        <v>3228</v>
      </c>
      <c r="J57" s="41">
        <f>SUM(C57:I57)</f>
        <v>36012</v>
      </c>
      <c r="K57" s="42">
        <f>(J57-J56)/J56</f>
        <v>-7.3264880722612516E-2</v>
      </c>
      <c r="L57" s="38" t="s">
        <v>70</v>
      </c>
    </row>
    <row r="58" spans="1:12" ht="25" customHeight="1" x14ac:dyDescent="0.15">
      <c r="A58" s="45">
        <f t="shared" si="1"/>
        <v>46048</v>
      </c>
      <c r="B58" s="45">
        <f t="shared" si="0"/>
        <v>46054</v>
      </c>
      <c r="C58" s="35">
        <v>2536</v>
      </c>
      <c r="D58" s="35">
        <v>3375</v>
      </c>
      <c r="E58" s="35">
        <v>4845</v>
      </c>
      <c r="F58" s="35">
        <v>4988</v>
      </c>
      <c r="G58" s="35">
        <v>10749</v>
      </c>
      <c r="H58" s="35">
        <v>12946</v>
      </c>
      <c r="I58" s="34">
        <v>5703</v>
      </c>
      <c r="J58" s="41">
        <f>SUM(C58:I58)</f>
        <v>45142</v>
      </c>
      <c r="K58" s="42">
        <f>(J58-J57)/J57</f>
        <v>0.25352660224369655</v>
      </c>
      <c r="L58" s="38" t="s">
        <v>71</v>
      </c>
    </row>
    <row r="59" spans="1:12" ht="25" customHeight="1" x14ac:dyDescent="0.15">
      <c r="A59" s="45">
        <f t="shared" si="1"/>
        <v>46055</v>
      </c>
      <c r="B59" s="45">
        <f t="shared" si="0"/>
        <v>46061</v>
      </c>
      <c r="C59" s="35">
        <v>2786</v>
      </c>
      <c r="D59" s="35">
        <v>1971</v>
      </c>
      <c r="E59" s="35">
        <v>3546</v>
      </c>
      <c r="F59" s="35">
        <v>3997</v>
      </c>
      <c r="G59" s="35">
        <v>11292</v>
      </c>
      <c r="H59" s="35">
        <v>12032</v>
      </c>
      <c r="I59" s="35">
        <v>0</v>
      </c>
      <c r="J59" s="41">
        <f>SUM(C59:I59)</f>
        <v>35624</v>
      </c>
      <c r="K59" s="42">
        <f>(J59-J58)/J58</f>
        <v>-0.21084577555270037</v>
      </c>
      <c r="L59" s="38" t="s">
        <v>72</v>
      </c>
    </row>
    <row r="60" spans="1:12" ht="25" customHeight="1" x14ac:dyDescent="0.15">
      <c r="A60" s="45">
        <f t="shared" si="1"/>
        <v>46062</v>
      </c>
      <c r="B60" s="45">
        <f t="shared" si="0"/>
        <v>46068</v>
      </c>
      <c r="C60" s="35">
        <v>2165</v>
      </c>
      <c r="D60" s="35">
        <v>2396</v>
      </c>
      <c r="E60" s="35">
        <v>3581</v>
      </c>
      <c r="F60" s="35">
        <v>5094</v>
      </c>
      <c r="G60" s="34">
        <v>15181</v>
      </c>
      <c r="H60" s="34">
        <v>25266</v>
      </c>
      <c r="I60" s="34">
        <v>10109</v>
      </c>
      <c r="J60" s="43">
        <f>SUM(C60:I60)</f>
        <v>63792</v>
      </c>
      <c r="K60" s="42">
        <f>(J60-J59)/J59</f>
        <v>0.79070289692342244</v>
      </c>
      <c r="L60" s="38" t="s">
        <v>73</v>
      </c>
    </row>
    <row r="61" spans="1:12" ht="25" customHeight="1" x14ac:dyDescent="0.15">
      <c r="A61" s="45">
        <f t="shared" si="1"/>
        <v>46069</v>
      </c>
      <c r="B61" s="45">
        <f t="shared" si="0"/>
        <v>46075</v>
      </c>
      <c r="C61" s="35">
        <v>2485</v>
      </c>
      <c r="D61" s="35">
        <v>1903</v>
      </c>
      <c r="E61" s="35">
        <v>2905</v>
      </c>
      <c r="F61" s="35">
        <v>2339</v>
      </c>
      <c r="G61" s="35">
        <v>12915</v>
      </c>
      <c r="H61" s="35">
        <v>12746</v>
      </c>
      <c r="I61" s="35">
        <v>4933</v>
      </c>
      <c r="J61" s="41">
        <f>SUM(C61:I61)</f>
        <v>40226</v>
      </c>
      <c r="K61" s="42">
        <f>(J61-J60)/J60</f>
        <v>-0.36941936292952093</v>
      </c>
      <c r="L61" s="38" t="s">
        <v>74</v>
      </c>
    </row>
    <row r="62" spans="1:12" ht="25" customHeight="1" x14ac:dyDescent="0.15">
      <c r="A62" s="45">
        <f t="shared" si="1"/>
        <v>46076</v>
      </c>
      <c r="B62" s="45">
        <f t="shared" si="0"/>
        <v>46082</v>
      </c>
      <c r="C62" s="35">
        <v>2003</v>
      </c>
      <c r="D62" s="35">
        <v>2643</v>
      </c>
      <c r="E62" s="35">
        <v>2860</v>
      </c>
      <c r="F62" s="35">
        <v>4115</v>
      </c>
      <c r="G62" s="35">
        <v>11254</v>
      </c>
      <c r="H62" s="35">
        <v>12845</v>
      </c>
      <c r="I62" s="34">
        <v>7102</v>
      </c>
      <c r="J62" s="41">
        <f>SUM(C62:I62)</f>
        <v>42822</v>
      </c>
      <c r="K62" s="42">
        <f>(J62-J61)/J61</f>
        <v>6.4535375130512607E-2</v>
      </c>
      <c r="L62" s="38" t="s">
        <v>75</v>
      </c>
    </row>
    <row r="63" spans="1:12" ht="25" customHeight="1" x14ac:dyDescent="0.15">
      <c r="A63" s="45">
        <f t="shared" si="1"/>
        <v>46083</v>
      </c>
      <c r="B63" s="45">
        <f t="shared" si="0"/>
        <v>46089</v>
      </c>
      <c r="C63" s="35">
        <v>3598</v>
      </c>
      <c r="D63" s="35">
        <v>3333</v>
      </c>
      <c r="E63" s="35">
        <v>3266</v>
      </c>
      <c r="F63" s="35">
        <v>5157</v>
      </c>
      <c r="G63" s="35">
        <v>10736</v>
      </c>
      <c r="H63" s="35">
        <v>12238</v>
      </c>
      <c r="I63" s="35">
        <v>6953</v>
      </c>
      <c r="J63" s="41">
        <f>SUM(C63:I63)</f>
        <v>45281</v>
      </c>
      <c r="K63" s="42">
        <f>(J63-J62)/J62</f>
        <v>5.742375414506562E-2</v>
      </c>
      <c r="L63" s="38" t="s">
        <v>76</v>
      </c>
    </row>
    <row r="64" spans="1:12" ht="25" customHeight="1" x14ac:dyDescent="0.15">
      <c r="A64" s="45">
        <f t="shared" si="1"/>
        <v>46090</v>
      </c>
      <c r="B64" s="45">
        <f t="shared" si="0"/>
        <v>46096</v>
      </c>
      <c r="C64" s="35">
        <v>3719</v>
      </c>
      <c r="D64" s="35">
        <v>1780</v>
      </c>
      <c r="E64" s="35">
        <v>3051</v>
      </c>
      <c r="F64" s="35">
        <v>4918</v>
      </c>
      <c r="G64" s="35">
        <v>11644</v>
      </c>
      <c r="H64" s="35"/>
      <c r="I64" s="35"/>
      <c r="J64" s="41">
        <f>SUM(C64:I64)</f>
        <v>25112</v>
      </c>
      <c r="K64" s="42">
        <f>(J64-J63)/J63</f>
        <v>-0.44541860824628432</v>
      </c>
      <c r="L64" s="38" t="s">
        <v>77</v>
      </c>
    </row>
  </sheetData>
  <conditionalFormatting sqref="K2:K64">
    <cfRule type="cellIs" dxfId="0" priority="1" operator="greaterThanOrEqual">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9E015-6430-2243-8855-F34B35D0E2B8}">
  <dimension ref="A1:H19"/>
  <sheetViews>
    <sheetView workbookViewId="0">
      <selection activeCell="D26" sqref="D26"/>
    </sheetView>
  </sheetViews>
  <sheetFormatPr baseColWidth="10" defaultRowHeight="13" x14ac:dyDescent="0.15"/>
  <cols>
    <col min="1" max="1" width="27.5" style="46" customWidth="1"/>
    <col min="2" max="2" width="28" style="47" customWidth="1"/>
    <col min="3" max="3" width="21.6640625" customWidth="1"/>
    <col min="4" max="4" width="25.5" customWidth="1"/>
    <col min="5" max="5" width="21.5" customWidth="1"/>
    <col min="6" max="6" width="28.5" customWidth="1"/>
    <col min="7" max="7" width="18.6640625" style="46" customWidth="1"/>
    <col min="8" max="8" width="20.5" style="46" customWidth="1"/>
  </cols>
  <sheetData>
    <row r="1" spans="1:8" ht="45" customHeight="1" thickBot="1" x14ac:dyDescent="0.2">
      <c r="A1" s="62" t="s">
        <v>107</v>
      </c>
      <c r="B1" s="64" t="s">
        <v>102</v>
      </c>
      <c r="C1" s="51" t="s">
        <v>14</v>
      </c>
      <c r="D1" s="50" t="s">
        <v>98</v>
      </c>
      <c r="E1" s="50" t="s">
        <v>99</v>
      </c>
      <c r="F1" s="50" t="s">
        <v>100</v>
      </c>
      <c r="G1" s="85" t="s">
        <v>119</v>
      </c>
      <c r="H1" s="85" t="s">
        <v>120</v>
      </c>
    </row>
    <row r="2" spans="1:8" ht="25" customHeight="1" thickTop="1" x14ac:dyDescent="0.2">
      <c r="A2" s="65">
        <v>45658</v>
      </c>
      <c r="B2" s="58">
        <f>SUMIF(daily_sales_helper!$D:$D,A2,daily_sales_helper!$C:$C)</f>
        <v>178806.93</v>
      </c>
      <c r="C2" s="58">
        <f>B2*$B$18</f>
        <v>14304.554399999999</v>
      </c>
      <c r="D2" s="35">
        <v>187244</v>
      </c>
      <c r="E2" s="58">
        <f t="shared" ref="E2:E15" si="0">B2-D2</f>
        <v>-8437.070000000007</v>
      </c>
      <c r="F2" s="58">
        <f>E2</f>
        <v>-8437.070000000007</v>
      </c>
      <c r="G2" s="57" t="str">
        <f>TEXT(tblMonthlySummary[[#This Row],[Month_Year]],"mmm yyyy")</f>
        <v>Jan 2025</v>
      </c>
      <c r="H2" s="57">
        <f>tblMonthlySummary[[#This Row],[Month_Year]]</f>
        <v>45658</v>
      </c>
    </row>
    <row r="3" spans="1:8" ht="25" customHeight="1" x14ac:dyDescent="0.2">
      <c r="A3" s="65">
        <v>45689</v>
      </c>
      <c r="B3" s="58">
        <f>SUMIF(daily_sales_helper!$D:$D,A3,daily_sales_helper!$C:$C)</f>
        <v>166063.77000000002</v>
      </c>
      <c r="C3" s="58">
        <f>B3*$B$18</f>
        <v>13285.101600000002</v>
      </c>
      <c r="D3" s="35">
        <v>187244</v>
      </c>
      <c r="E3" s="58">
        <f t="shared" si="0"/>
        <v>-21180.229999999981</v>
      </c>
      <c r="F3" s="58">
        <f t="shared" ref="F3:F15" si="1">F2+E3</f>
        <v>-29617.299999999988</v>
      </c>
      <c r="G3" s="57" t="str">
        <f>TEXT(tblMonthlySummary[[#This Row],[Month_Year]],"mmm yyyy")</f>
        <v>Feb 2025</v>
      </c>
      <c r="H3" s="57">
        <f>tblMonthlySummary[[#This Row],[Month_Year]]</f>
        <v>45689</v>
      </c>
    </row>
    <row r="4" spans="1:8" ht="25" customHeight="1" x14ac:dyDescent="0.2">
      <c r="A4" s="65">
        <v>45717</v>
      </c>
      <c r="B4" s="58">
        <f>SUMIF(daily_sales_helper!$D:$D,A4,daily_sales_helper!$C:$C)</f>
        <v>183855.6</v>
      </c>
      <c r="C4" s="58">
        <f>B4*$B$18</f>
        <v>14708.448</v>
      </c>
      <c r="D4" s="35">
        <v>187244</v>
      </c>
      <c r="E4" s="58">
        <f t="shared" si="0"/>
        <v>-3388.3999999999942</v>
      </c>
      <c r="F4" s="58">
        <f t="shared" si="1"/>
        <v>-33005.699999999983</v>
      </c>
      <c r="G4" s="57" t="str">
        <f>TEXT(tblMonthlySummary[[#This Row],[Month_Year]],"mmm yyyy")</f>
        <v>Mar 2025</v>
      </c>
      <c r="H4" s="57">
        <f>tblMonthlySummary[[#This Row],[Month_Year]]</f>
        <v>45717</v>
      </c>
    </row>
    <row r="5" spans="1:8" ht="25" customHeight="1" x14ac:dyDescent="0.2">
      <c r="A5" s="65">
        <v>45748</v>
      </c>
      <c r="B5" s="58">
        <f>SUMIF(daily_sales_helper!$D:$D,A5,daily_sales_helper!$C:$C)</f>
        <v>152162.5</v>
      </c>
      <c r="C5" s="58">
        <f>B5*$B$18</f>
        <v>12173</v>
      </c>
      <c r="D5" s="35">
        <v>187244</v>
      </c>
      <c r="E5" s="58">
        <f t="shared" si="0"/>
        <v>-35081.5</v>
      </c>
      <c r="F5" s="58">
        <f t="shared" si="1"/>
        <v>-68087.199999999983</v>
      </c>
      <c r="G5" s="57" t="str">
        <f>TEXT(tblMonthlySummary[[#This Row],[Month_Year]],"mmm yyyy")</f>
        <v>Apr 2025</v>
      </c>
      <c r="H5" s="57">
        <f>tblMonthlySummary[[#This Row],[Month_Year]]</f>
        <v>45748</v>
      </c>
    </row>
    <row r="6" spans="1:8" ht="25" customHeight="1" x14ac:dyDescent="0.2">
      <c r="A6" s="65">
        <v>45778</v>
      </c>
      <c r="B6" s="58">
        <f>SUMIF(daily_sales_helper!$D:$D,A6,daily_sales_helper!$C:$C)</f>
        <v>217771.75</v>
      </c>
      <c r="C6" s="58">
        <f>B6*$B$18</f>
        <v>17421.740000000002</v>
      </c>
      <c r="D6" s="35">
        <v>187244</v>
      </c>
      <c r="E6" s="58">
        <f t="shared" si="0"/>
        <v>30527.75</v>
      </c>
      <c r="F6" s="58">
        <f t="shared" si="1"/>
        <v>-37559.449999999983</v>
      </c>
      <c r="G6" s="57" t="str">
        <f>TEXT(tblMonthlySummary[[#This Row],[Month_Year]],"mmm yyyy")</f>
        <v>May 2025</v>
      </c>
      <c r="H6" s="57">
        <f>tblMonthlySummary[[#This Row],[Month_Year]]</f>
        <v>45778</v>
      </c>
    </row>
    <row r="7" spans="1:8" ht="25" customHeight="1" x14ac:dyDescent="0.2">
      <c r="A7" s="65">
        <v>45809</v>
      </c>
      <c r="B7" s="58">
        <f>SUMIF(daily_sales_helper!$D:$D,A7,daily_sales_helper!$C:$C)</f>
        <v>229797.6</v>
      </c>
      <c r="C7" s="58">
        <f>B7*$B$18</f>
        <v>18383.808000000001</v>
      </c>
      <c r="D7" s="35">
        <v>201393</v>
      </c>
      <c r="E7" s="58">
        <f t="shared" si="0"/>
        <v>28404.600000000006</v>
      </c>
      <c r="F7" s="58">
        <f t="shared" si="1"/>
        <v>-9154.8499999999767</v>
      </c>
      <c r="G7" s="57" t="str">
        <f>TEXT(tblMonthlySummary[[#This Row],[Month_Year]],"mmm yyyy")</f>
        <v>Jun 2025</v>
      </c>
      <c r="H7" s="57">
        <f>tblMonthlySummary[[#This Row],[Month_Year]]</f>
        <v>45809</v>
      </c>
    </row>
    <row r="8" spans="1:8" ht="25" customHeight="1" x14ac:dyDescent="0.2">
      <c r="A8" s="65">
        <v>45839</v>
      </c>
      <c r="B8" s="58">
        <f>SUMIF(daily_sales_helper!$D:$D,A8,daily_sales_helper!$C:$C)</f>
        <v>250256.56</v>
      </c>
      <c r="C8" s="58">
        <f>B8*$B$18</f>
        <v>20020.524799999999</v>
      </c>
      <c r="D8" s="35">
        <v>201393</v>
      </c>
      <c r="E8" s="58">
        <f t="shared" si="0"/>
        <v>48863.56</v>
      </c>
      <c r="F8" s="58">
        <f t="shared" si="1"/>
        <v>39708.710000000021</v>
      </c>
      <c r="G8" s="57" t="str">
        <f>TEXT(tblMonthlySummary[[#This Row],[Month_Year]],"mmm yyyy")</f>
        <v>Jul 2025</v>
      </c>
      <c r="H8" s="57">
        <f>tblMonthlySummary[[#This Row],[Month_Year]]</f>
        <v>45839</v>
      </c>
    </row>
    <row r="9" spans="1:8" ht="25" customHeight="1" x14ac:dyDescent="0.2">
      <c r="A9" s="65">
        <v>45870</v>
      </c>
      <c r="B9" s="58">
        <f>SUMIF(daily_sales_helper!$D:$D,A9,daily_sales_helper!$C:$C)</f>
        <v>275185.5</v>
      </c>
      <c r="C9" s="58">
        <f>B9*$B$18</f>
        <v>22014.84</v>
      </c>
      <c r="D9" s="35">
        <v>201393</v>
      </c>
      <c r="E9" s="58">
        <f t="shared" si="0"/>
        <v>73792.5</v>
      </c>
      <c r="F9" s="58">
        <f t="shared" si="1"/>
        <v>113501.21000000002</v>
      </c>
      <c r="G9" s="57" t="str">
        <f>TEXT(tblMonthlySummary[[#This Row],[Month_Year]],"mmm yyyy")</f>
        <v>Aug 2025</v>
      </c>
      <c r="H9" s="57">
        <f>tblMonthlySummary[[#This Row],[Month_Year]]</f>
        <v>45870</v>
      </c>
    </row>
    <row r="10" spans="1:8" ht="25" customHeight="1" x14ac:dyDescent="0.2">
      <c r="A10" s="65">
        <v>45901</v>
      </c>
      <c r="B10" s="58">
        <f>SUMIF(daily_sales_helper!$D:$D,A10,daily_sales_helper!$C:$C)</f>
        <v>206815.90000000002</v>
      </c>
      <c r="C10" s="58">
        <f>B10*$B$18</f>
        <v>16545.272000000001</v>
      </c>
      <c r="D10" s="35">
        <v>201393</v>
      </c>
      <c r="E10" s="58">
        <f t="shared" si="0"/>
        <v>5422.9000000000233</v>
      </c>
      <c r="F10" s="58">
        <f t="shared" si="1"/>
        <v>118924.11000000004</v>
      </c>
      <c r="G10" s="57" t="str">
        <f>TEXT(tblMonthlySummary[[#This Row],[Month_Year]],"mmm yyyy")</f>
        <v>Sep 2025</v>
      </c>
      <c r="H10" s="57">
        <f>tblMonthlySummary[[#This Row],[Month_Year]]</f>
        <v>45901</v>
      </c>
    </row>
    <row r="11" spans="1:8" ht="25" customHeight="1" x14ac:dyDescent="0.2">
      <c r="A11" s="65">
        <v>45931</v>
      </c>
      <c r="B11" s="58">
        <f>SUMIF(daily_sales_helper!$D:$D,A11,daily_sales_helper!$C:$C)</f>
        <v>196713.35</v>
      </c>
      <c r="C11" s="58">
        <f>B11*$B$18</f>
        <v>15737.068000000001</v>
      </c>
      <c r="D11" s="35">
        <v>201393</v>
      </c>
      <c r="E11" s="58">
        <f t="shared" si="0"/>
        <v>-4679.6499999999942</v>
      </c>
      <c r="F11" s="58">
        <f t="shared" si="1"/>
        <v>114244.46000000005</v>
      </c>
      <c r="G11" s="57" t="str">
        <f>TEXT(tblMonthlySummary[[#This Row],[Month_Year]],"mmm yyyy")</f>
        <v>Oct 2025</v>
      </c>
      <c r="H11" s="57">
        <f>tblMonthlySummary[[#This Row],[Month_Year]]</f>
        <v>45931</v>
      </c>
    </row>
    <row r="12" spans="1:8" ht="25" customHeight="1" x14ac:dyDescent="0.2">
      <c r="A12" s="65">
        <v>45962</v>
      </c>
      <c r="B12" s="58">
        <f>SUMIF(daily_sales_helper!$D:$D,A12,daily_sales_helper!$C:$C)</f>
        <v>176875</v>
      </c>
      <c r="C12" s="58">
        <f>B12*$B$18</f>
        <v>14150</v>
      </c>
      <c r="D12" s="49">
        <v>187244</v>
      </c>
      <c r="E12" s="58">
        <f t="shared" si="0"/>
        <v>-10369</v>
      </c>
      <c r="F12" s="58">
        <f t="shared" si="1"/>
        <v>103875.46000000005</v>
      </c>
      <c r="G12" s="57" t="str">
        <f>TEXT(tblMonthlySummary[[#This Row],[Month_Year]],"mmm yyyy")</f>
        <v>Nov 2025</v>
      </c>
      <c r="H12" s="57">
        <f>tblMonthlySummary[[#This Row],[Month_Year]]</f>
        <v>45962</v>
      </c>
    </row>
    <row r="13" spans="1:8" ht="25" customHeight="1" x14ac:dyDescent="0.2">
      <c r="A13" s="65">
        <v>45992</v>
      </c>
      <c r="B13" s="58">
        <f>SUMIF(daily_sales_helper!$D:$D,A13,daily_sales_helper!$C:$C)</f>
        <v>184002</v>
      </c>
      <c r="C13" s="58">
        <f>B13*$B$18</f>
        <v>14720.16</v>
      </c>
      <c r="D13" s="49">
        <v>187244</v>
      </c>
      <c r="E13" s="58">
        <f t="shared" si="0"/>
        <v>-3242</v>
      </c>
      <c r="F13" s="58">
        <f t="shared" si="1"/>
        <v>100633.46000000005</v>
      </c>
      <c r="G13" s="57" t="str">
        <f>TEXT(tblMonthlySummary[[#This Row],[Month_Year]],"mmm yyyy")</f>
        <v>Dec 2025</v>
      </c>
      <c r="H13" s="57">
        <f>tblMonthlySummary[[#This Row],[Month_Year]]</f>
        <v>45992</v>
      </c>
    </row>
    <row r="14" spans="1:8" ht="25" customHeight="1" x14ac:dyDescent="0.2">
      <c r="A14" s="65">
        <v>46023</v>
      </c>
      <c r="B14" s="58">
        <f>SUMIF(daily_sales_helper!$D:$D,A14,daily_sales_helper!$C:$C)</f>
        <v>188741</v>
      </c>
      <c r="C14" s="58">
        <f>B14*$B$18</f>
        <v>15099.28</v>
      </c>
      <c r="D14" s="35">
        <v>187244</v>
      </c>
      <c r="E14" s="58">
        <f t="shared" si="0"/>
        <v>1497</v>
      </c>
      <c r="F14" s="58">
        <f t="shared" si="1"/>
        <v>102130.46000000005</v>
      </c>
      <c r="G14" s="57" t="str">
        <f>TEXT(tblMonthlySummary[[#This Row],[Month_Year]],"mmm yyyy")</f>
        <v>Jan 2026</v>
      </c>
      <c r="H14" s="57">
        <f>tblMonthlySummary[[#This Row],[Month_Year]]</f>
        <v>46023</v>
      </c>
    </row>
    <row r="15" spans="1:8" ht="25" customHeight="1" thickBot="1" x14ac:dyDescent="0.25">
      <c r="A15" s="65">
        <v>46054</v>
      </c>
      <c r="B15" s="58">
        <f>SUMIF(daily_sales_helper!$D:$D,A15,daily_sales_helper!$C:$C)</f>
        <v>181065</v>
      </c>
      <c r="C15" s="58">
        <f>B15*$B$18</f>
        <v>14485.2</v>
      </c>
      <c r="D15" s="35">
        <v>187244</v>
      </c>
      <c r="E15" s="58">
        <f t="shared" si="0"/>
        <v>-6179</v>
      </c>
      <c r="F15" s="58">
        <f t="shared" si="1"/>
        <v>95951.46000000005</v>
      </c>
      <c r="G15" s="57" t="str">
        <f>TEXT(tblMonthlySummary[[#This Row],[Month_Year]],"mmm yyyy")</f>
        <v>Feb 2026</v>
      </c>
      <c r="H15" s="57">
        <f>tblMonthlySummary[[#This Row],[Month_Year]]</f>
        <v>46054</v>
      </c>
    </row>
    <row r="16" spans="1:8" ht="34" customHeight="1" x14ac:dyDescent="0.2">
      <c r="A16" s="82" t="s">
        <v>109</v>
      </c>
      <c r="B16" s="83">
        <f>SUM(B2:B15)</f>
        <v>2788112.4600000004</v>
      </c>
      <c r="C16" s="83">
        <f>SUM(C2:C15)</f>
        <v>223048.99680000002</v>
      </c>
      <c r="D16" s="83">
        <f>SUM(D2:D15)</f>
        <v>2692161</v>
      </c>
      <c r="E16" s="83">
        <f>SUM(E2:E15)</f>
        <v>95951.46000000005</v>
      </c>
      <c r="F16" s="84">
        <f>SUM(F2:F15)</f>
        <v>603107.76000000047</v>
      </c>
      <c r="G16" s="57" t="str">
        <f>TEXT(tblMonthlySummary[[#This Row],[Month_Year]],"mmm yyyy")</f>
        <v xml:space="preserve">Total </v>
      </c>
      <c r="H16" s="57" t="str">
        <f>tblMonthlySummary[[#This Row],[Month_Year]]</f>
        <v xml:space="preserve">Total </v>
      </c>
    </row>
    <row r="17" spans="1:5" ht="25" customHeight="1" thickBot="1" x14ac:dyDescent="0.2">
      <c r="A17" s="57"/>
      <c r="B17" s="58"/>
      <c r="C17" s="39"/>
      <c r="D17" s="39"/>
      <c r="E17" s="39"/>
    </row>
    <row r="18" spans="1:5" ht="25" customHeight="1" thickBot="1" x14ac:dyDescent="0.2">
      <c r="A18" s="66" t="s">
        <v>103</v>
      </c>
      <c r="B18" s="67">
        <v>0.08</v>
      </c>
      <c r="C18" s="39"/>
      <c r="D18" s="39"/>
      <c r="E18" s="39"/>
    </row>
    <row r="19" spans="1:5" ht="25" customHeight="1" x14ac:dyDescent="0.15"/>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E7B2D-04F2-6C48-A28E-E29A36E74BDE}">
  <dimension ref="A1:E479"/>
  <sheetViews>
    <sheetView workbookViewId="0"/>
  </sheetViews>
  <sheetFormatPr baseColWidth="10" defaultRowHeight="20" customHeight="1" x14ac:dyDescent="0.15"/>
  <cols>
    <col min="1" max="1" width="24.5" customWidth="1"/>
    <col min="2" max="2" width="25.83203125" customWidth="1"/>
    <col min="3" max="3" width="28.5" style="47" customWidth="1"/>
    <col min="4" max="4" width="24.5" style="46" customWidth="1"/>
    <col min="5" max="5" width="32" customWidth="1"/>
  </cols>
  <sheetData>
    <row r="1" spans="1:5" ht="46" customHeight="1" thickBot="1" x14ac:dyDescent="0.2">
      <c r="A1" s="48" t="s">
        <v>104</v>
      </c>
      <c r="B1" s="48" t="s">
        <v>105</v>
      </c>
      <c r="C1" s="59" t="s">
        <v>106</v>
      </c>
      <c r="D1" s="63" t="s">
        <v>107</v>
      </c>
      <c r="E1" s="48" t="s">
        <v>108</v>
      </c>
    </row>
    <row r="2" spans="1:5" s="39" customFormat="1" ht="25" customHeight="1" thickTop="1" x14ac:dyDescent="0.15">
      <c r="A2" s="57" cm="1">
        <f t="array" ref="A2">INDEX(clean_weekly_data!$A:$A,$E2)+MOD(ROW()-2,7)</f>
        <v>45656</v>
      </c>
      <c r="B2" s="39" t="str">
        <f>CHOOSE(MOD(ROW()-2,7)+1,"Monday","Tuesday","Wednesday","Thursday","Friday","Saturday","Sunday")</f>
        <v>Monday</v>
      </c>
      <c r="C2" s="58" cm="1">
        <f t="array" ref="C2">INDEX(clean_weekly_data!$C:$I,$E2,MOD(ROW()-2,7)+1)</f>
        <v>7526.6</v>
      </c>
      <c r="D2" s="57" t="str">
        <f>TEXT(A2,"mmm yyyy")</f>
        <v>Dec 2024</v>
      </c>
      <c r="E2" s="39">
        <f>INT((ROW()-2)/7)+2</f>
        <v>2</v>
      </c>
    </row>
    <row r="3" spans="1:5" s="39" customFormat="1" ht="25" customHeight="1" x14ac:dyDescent="0.15">
      <c r="A3" s="57" cm="1">
        <f t="array" ref="A3">INDEX(clean_weekly_data!$A:$A,$E3)+MOD(ROW()-2,7)</f>
        <v>45657</v>
      </c>
      <c r="B3" s="39" t="str">
        <f t="shared" ref="B3:B66" si="0">CHOOSE(MOD(ROW()-2,7)+1,"Monday","Tuesday","Wednesday","Thursday","Friday","Saturday","Sunday")</f>
        <v>Tuesday</v>
      </c>
      <c r="C3" s="58" cm="1">
        <f t="array" ref="C3">INDEX(clean_weekly_data!$C:$I,$E3,MOD(ROW()-2,7)+1)</f>
        <v>0</v>
      </c>
      <c r="D3" s="57" t="str">
        <f>TEXT(A3,"mmm yyyy")</f>
        <v>Dec 2024</v>
      </c>
      <c r="E3" s="39">
        <f t="shared" ref="E3:E66" si="1">INT((ROW()-2)/7)+2</f>
        <v>2</v>
      </c>
    </row>
    <row r="4" spans="1:5" s="39" customFormat="1" ht="25" customHeight="1" x14ac:dyDescent="0.15">
      <c r="A4" s="57" cm="1">
        <f t="array" ref="A4">INDEX(clean_weekly_data!$A:$A,$E4)+MOD(ROW()-2,7)</f>
        <v>45658</v>
      </c>
      <c r="B4" s="39" t="str">
        <f t="shared" si="0"/>
        <v>Wednesday</v>
      </c>
      <c r="C4" s="58" cm="1">
        <f t="array" ref="C4">INDEX(clean_weekly_data!$C:$I,$E4,MOD(ROW()-2,7)+1)</f>
        <v>3689.55</v>
      </c>
      <c r="D4" s="57" t="str">
        <f>TEXT(A4,"mmm yyyy")</f>
        <v>Jan 2025</v>
      </c>
      <c r="E4" s="39">
        <f t="shared" si="1"/>
        <v>2</v>
      </c>
    </row>
    <row r="5" spans="1:5" s="39" customFormat="1" ht="25" customHeight="1" x14ac:dyDescent="0.15">
      <c r="A5" s="57" cm="1">
        <f t="array" ref="A5">INDEX(clean_weekly_data!$A:$A,$E5)+MOD(ROW()-2,7)</f>
        <v>45659</v>
      </c>
      <c r="B5" s="39" t="str">
        <f t="shared" si="0"/>
        <v>Thursday</v>
      </c>
      <c r="C5" s="58" cm="1">
        <f t="array" ref="C5">INDEX(clean_weekly_data!$C:$I,$E5,MOD(ROW()-2,7)+1)</f>
        <v>6453.51</v>
      </c>
      <c r="D5" s="57" t="str">
        <f>TEXT(A5,"mmm yyyy")</f>
        <v>Jan 2025</v>
      </c>
      <c r="E5" s="39">
        <f t="shared" si="1"/>
        <v>2</v>
      </c>
    </row>
    <row r="6" spans="1:5" s="39" customFormat="1" ht="25" customHeight="1" x14ac:dyDescent="0.15">
      <c r="A6" s="57" cm="1">
        <f t="array" ref="A6">INDEX(clean_weekly_data!$A:$A,$E6)+MOD(ROW()-2,7)</f>
        <v>45660</v>
      </c>
      <c r="B6" s="39" t="str">
        <f t="shared" si="0"/>
        <v>Friday</v>
      </c>
      <c r="C6" s="58" cm="1">
        <f t="array" ref="C6">INDEX(clean_weekly_data!$C:$I,$E6,MOD(ROW()-2,7)+1)</f>
        <v>11241.1</v>
      </c>
      <c r="D6" s="57" t="str">
        <f>TEXT(A6,"mmm yyyy")</f>
        <v>Jan 2025</v>
      </c>
      <c r="E6" s="39">
        <f t="shared" si="1"/>
        <v>2</v>
      </c>
    </row>
    <row r="7" spans="1:5" s="39" customFormat="1" ht="25" customHeight="1" x14ac:dyDescent="0.15">
      <c r="A7" s="57" cm="1">
        <f t="array" ref="A7">INDEX(clean_weekly_data!$A:$A,$E7)+MOD(ROW()-2,7)</f>
        <v>45661</v>
      </c>
      <c r="B7" s="39" t="str">
        <f t="shared" si="0"/>
        <v>Saturday</v>
      </c>
      <c r="C7" s="58" cm="1">
        <f t="array" ref="C7">INDEX(clean_weekly_data!$C:$I,$E7,MOD(ROW()-2,7)+1)</f>
        <v>14053.74</v>
      </c>
      <c r="D7" s="57" t="str">
        <f>TEXT(A7,"mmm yyyy")</f>
        <v>Jan 2025</v>
      </c>
      <c r="E7" s="39">
        <f t="shared" si="1"/>
        <v>2</v>
      </c>
    </row>
    <row r="8" spans="1:5" s="39" customFormat="1" ht="25" customHeight="1" x14ac:dyDescent="0.15">
      <c r="A8" s="57" cm="1">
        <f t="array" ref="A8">INDEX(clean_weekly_data!$A:$A,$E8)+MOD(ROW()-2,7)</f>
        <v>45662</v>
      </c>
      <c r="B8" s="39" t="str">
        <f t="shared" si="0"/>
        <v>Sunday</v>
      </c>
      <c r="C8" s="58" cm="1">
        <f t="array" ref="C8">INDEX(clean_weekly_data!$C:$I,$E8,MOD(ROW()-2,7)+1)</f>
        <v>5195.91</v>
      </c>
      <c r="D8" s="57" t="str">
        <f>TEXT(A8,"mmm yyyy")</f>
        <v>Jan 2025</v>
      </c>
      <c r="E8" s="39">
        <f t="shared" si="1"/>
        <v>2</v>
      </c>
    </row>
    <row r="9" spans="1:5" s="39" customFormat="1" ht="25" customHeight="1" x14ac:dyDescent="0.15">
      <c r="A9" s="57" cm="1">
        <f t="array" ref="A9">INDEX(clean_weekly_data!$A:$A,$E9)+MOD(ROW()-2,7)</f>
        <v>45663</v>
      </c>
      <c r="B9" s="39" t="str">
        <f t="shared" si="0"/>
        <v>Monday</v>
      </c>
      <c r="C9" s="58" cm="1">
        <f t="array" ref="C9">INDEX(clean_weekly_data!$C:$I,$E9,MOD(ROW()-2,7)+1)</f>
        <v>3232.85</v>
      </c>
      <c r="D9" s="57" t="str">
        <f>TEXT(A9,"mmm yyyy")</f>
        <v>Jan 2025</v>
      </c>
      <c r="E9" s="39">
        <f t="shared" si="1"/>
        <v>3</v>
      </c>
    </row>
    <row r="10" spans="1:5" s="39" customFormat="1" ht="25" customHeight="1" x14ac:dyDescent="0.15">
      <c r="A10" s="57" cm="1">
        <f t="array" ref="A10">INDEX(clean_weekly_data!$A:$A,$E10)+MOD(ROW()-2,7)</f>
        <v>45664</v>
      </c>
      <c r="B10" s="39" t="str">
        <f t="shared" si="0"/>
        <v>Tuesday</v>
      </c>
      <c r="C10" s="58" cm="1">
        <f t="array" ref="C10">INDEX(clean_weekly_data!$C:$I,$E10,MOD(ROW()-2,7)+1)</f>
        <v>0</v>
      </c>
      <c r="D10" s="57" t="str">
        <f>TEXT(A10,"mmm yyyy")</f>
        <v>Jan 2025</v>
      </c>
      <c r="E10" s="39">
        <f t="shared" si="1"/>
        <v>3</v>
      </c>
    </row>
    <row r="11" spans="1:5" s="39" customFormat="1" ht="25" customHeight="1" x14ac:dyDescent="0.15">
      <c r="A11" s="57" cm="1">
        <f t="array" ref="A11">INDEX(clean_weekly_data!$A:$A,$E11)+MOD(ROW()-2,7)</f>
        <v>45665</v>
      </c>
      <c r="B11" s="39" t="str">
        <f t="shared" si="0"/>
        <v>Wednesday</v>
      </c>
      <c r="C11" s="58" cm="1">
        <f t="array" ref="C11">INDEX(clean_weekly_data!$C:$I,$E11,MOD(ROW()-2,7)+1)</f>
        <v>4285</v>
      </c>
      <c r="D11" s="57" t="str">
        <f>TEXT(A11,"mmm yyyy")</f>
        <v>Jan 2025</v>
      </c>
      <c r="E11" s="39">
        <f t="shared" si="1"/>
        <v>3</v>
      </c>
    </row>
    <row r="12" spans="1:5" s="39" customFormat="1" ht="25" customHeight="1" x14ac:dyDescent="0.15">
      <c r="A12" s="57" cm="1">
        <f t="array" ref="A12">INDEX(clean_weekly_data!$A:$A,$E12)+MOD(ROW()-2,7)</f>
        <v>45666</v>
      </c>
      <c r="B12" s="39" t="str">
        <f t="shared" si="0"/>
        <v>Thursday</v>
      </c>
      <c r="C12" s="58" cm="1">
        <f t="array" ref="C12">INDEX(clean_weekly_data!$C:$I,$E12,MOD(ROW()-2,7)+1)</f>
        <v>4601.6499999999996</v>
      </c>
      <c r="D12" s="57" t="str">
        <f>TEXT(A12,"mmm yyyy")</f>
        <v>Jan 2025</v>
      </c>
      <c r="E12" s="39">
        <f t="shared" si="1"/>
        <v>3</v>
      </c>
    </row>
    <row r="13" spans="1:5" s="39" customFormat="1" ht="25" customHeight="1" x14ac:dyDescent="0.15">
      <c r="A13" s="57" cm="1">
        <f t="array" ref="A13">INDEX(clean_weekly_data!$A:$A,$E13)+MOD(ROW()-2,7)</f>
        <v>45667</v>
      </c>
      <c r="B13" s="39" t="str">
        <f t="shared" si="0"/>
        <v>Friday</v>
      </c>
      <c r="C13" s="58" cm="1">
        <f t="array" ref="C13">INDEX(clean_weekly_data!$C:$I,$E13,MOD(ROW()-2,7)+1)</f>
        <v>9380.6</v>
      </c>
      <c r="D13" s="57" t="str">
        <f>TEXT(A13,"mmm yyyy")</f>
        <v>Jan 2025</v>
      </c>
      <c r="E13" s="39">
        <f t="shared" si="1"/>
        <v>3</v>
      </c>
    </row>
    <row r="14" spans="1:5" s="39" customFormat="1" ht="25" customHeight="1" x14ac:dyDescent="0.15">
      <c r="A14" s="57" cm="1">
        <f t="array" ref="A14">INDEX(clean_weekly_data!$A:$A,$E14)+MOD(ROW()-2,7)</f>
        <v>45668</v>
      </c>
      <c r="B14" s="39" t="str">
        <f t="shared" si="0"/>
        <v>Saturday</v>
      </c>
      <c r="C14" s="58" cm="1">
        <f t="array" ref="C14">INDEX(clean_weekly_data!$C:$I,$E14,MOD(ROW()-2,7)+1)</f>
        <v>14013.45</v>
      </c>
      <c r="D14" s="57" t="str">
        <f>TEXT(A14,"mmm yyyy")</f>
        <v>Jan 2025</v>
      </c>
      <c r="E14" s="39">
        <f t="shared" si="1"/>
        <v>3</v>
      </c>
    </row>
    <row r="15" spans="1:5" s="39" customFormat="1" ht="25" customHeight="1" x14ac:dyDescent="0.15">
      <c r="A15" s="57" cm="1">
        <f t="array" ref="A15">INDEX(clean_weekly_data!$A:$A,$E15)+MOD(ROW()-2,7)</f>
        <v>45669</v>
      </c>
      <c r="B15" s="39" t="str">
        <f t="shared" si="0"/>
        <v>Sunday</v>
      </c>
      <c r="C15" s="58" cm="1">
        <f t="array" ref="C15">INDEX(clean_weekly_data!$C:$I,$E15,MOD(ROW()-2,7)+1)</f>
        <v>3276.11</v>
      </c>
      <c r="D15" s="57" t="str">
        <f>TEXT(A15,"mmm yyyy")</f>
        <v>Jan 2025</v>
      </c>
      <c r="E15" s="39">
        <f t="shared" si="1"/>
        <v>3</v>
      </c>
    </row>
    <row r="16" spans="1:5" s="39" customFormat="1" ht="25" customHeight="1" x14ac:dyDescent="0.15">
      <c r="A16" s="57" cm="1">
        <f t="array" ref="A16">INDEX(clean_weekly_data!$A:$A,$E16)+MOD(ROW()-2,7)</f>
        <v>45670</v>
      </c>
      <c r="B16" s="39" t="str">
        <f t="shared" si="0"/>
        <v>Monday</v>
      </c>
      <c r="C16" s="58" cm="1">
        <f t="array" ref="C16">INDEX(clean_weekly_data!$C:$I,$E16,MOD(ROW()-2,7)+1)</f>
        <v>2873.63</v>
      </c>
      <c r="D16" s="57" t="str">
        <f>TEXT(A16,"mmm yyyy")</f>
        <v>Jan 2025</v>
      </c>
      <c r="E16" s="39">
        <f t="shared" si="1"/>
        <v>4</v>
      </c>
    </row>
    <row r="17" spans="1:5" s="39" customFormat="1" ht="25" customHeight="1" x14ac:dyDescent="0.15">
      <c r="A17" s="57" cm="1">
        <f t="array" ref="A17">INDEX(clean_weekly_data!$A:$A,$E17)+MOD(ROW()-2,7)</f>
        <v>45671</v>
      </c>
      <c r="B17" s="39" t="str">
        <f t="shared" si="0"/>
        <v>Tuesday</v>
      </c>
      <c r="C17" s="58" cm="1">
        <f t="array" ref="C17">INDEX(clean_weekly_data!$C:$I,$E17,MOD(ROW()-2,7)+1)</f>
        <v>0</v>
      </c>
      <c r="D17" s="57" t="str">
        <f>TEXT(A17,"mmm yyyy")</f>
        <v>Jan 2025</v>
      </c>
      <c r="E17" s="39">
        <f t="shared" si="1"/>
        <v>4</v>
      </c>
    </row>
    <row r="18" spans="1:5" s="39" customFormat="1" ht="25" customHeight="1" x14ac:dyDescent="0.15">
      <c r="A18" s="57" cm="1">
        <f t="array" ref="A18">INDEX(clean_weekly_data!$A:$A,$E18)+MOD(ROW()-2,7)</f>
        <v>45672</v>
      </c>
      <c r="B18" s="39" t="str">
        <f t="shared" si="0"/>
        <v>Wednesday</v>
      </c>
      <c r="C18" s="58" cm="1">
        <f t="array" ref="C18">INDEX(clean_weekly_data!$C:$I,$E18,MOD(ROW()-2,7)+1)</f>
        <v>3636.3</v>
      </c>
      <c r="D18" s="57" t="str">
        <f>TEXT(A18,"mmm yyyy")</f>
        <v>Jan 2025</v>
      </c>
      <c r="E18" s="39">
        <f t="shared" si="1"/>
        <v>4</v>
      </c>
    </row>
    <row r="19" spans="1:5" s="39" customFormat="1" ht="25" customHeight="1" x14ac:dyDescent="0.15">
      <c r="A19" s="57" cm="1">
        <f t="array" ref="A19">INDEX(clean_weekly_data!$A:$A,$E19)+MOD(ROW()-2,7)</f>
        <v>45673</v>
      </c>
      <c r="B19" s="39" t="str">
        <f t="shared" si="0"/>
        <v>Thursday</v>
      </c>
      <c r="C19" s="58" cm="1">
        <f t="array" ref="C19">INDEX(clean_weekly_data!$C:$I,$E19,MOD(ROW()-2,7)+1)</f>
        <v>4807.3999999999996</v>
      </c>
      <c r="D19" s="57" t="str">
        <f>TEXT(A19,"mmm yyyy")</f>
        <v>Jan 2025</v>
      </c>
      <c r="E19" s="39">
        <f t="shared" si="1"/>
        <v>4</v>
      </c>
    </row>
    <row r="20" spans="1:5" s="39" customFormat="1" ht="25" customHeight="1" x14ac:dyDescent="0.15">
      <c r="A20" s="57" cm="1">
        <f t="array" ref="A20">INDEX(clean_weekly_data!$A:$A,$E20)+MOD(ROW()-2,7)</f>
        <v>45674</v>
      </c>
      <c r="B20" s="39" t="str">
        <f t="shared" si="0"/>
        <v>Friday</v>
      </c>
      <c r="C20" s="58" cm="1">
        <f t="array" ref="C20">INDEX(clean_weekly_data!$C:$I,$E20,MOD(ROW()-2,7)+1)</f>
        <v>10376.25</v>
      </c>
      <c r="D20" s="57" t="str">
        <f>TEXT(A20,"mmm yyyy")</f>
        <v>Jan 2025</v>
      </c>
      <c r="E20" s="39">
        <f t="shared" si="1"/>
        <v>4</v>
      </c>
    </row>
    <row r="21" spans="1:5" s="39" customFormat="1" ht="25" customHeight="1" x14ac:dyDescent="0.15">
      <c r="A21" s="57" cm="1">
        <f t="array" ref="A21">INDEX(clean_weekly_data!$A:$A,$E21)+MOD(ROW()-2,7)</f>
        <v>45675</v>
      </c>
      <c r="B21" s="39" t="str">
        <f t="shared" si="0"/>
        <v>Saturday</v>
      </c>
      <c r="C21" s="58" cm="1">
        <f t="array" ref="C21">INDEX(clean_weekly_data!$C:$I,$E21,MOD(ROW()-2,7)+1)</f>
        <v>10088.6</v>
      </c>
      <c r="D21" s="57" t="str">
        <f>TEXT(A21,"mmm yyyy")</f>
        <v>Jan 2025</v>
      </c>
      <c r="E21" s="39">
        <f t="shared" si="1"/>
        <v>4</v>
      </c>
    </row>
    <row r="22" spans="1:5" s="39" customFormat="1" ht="25" customHeight="1" x14ac:dyDescent="0.15">
      <c r="A22" s="57" cm="1">
        <f t="array" ref="A22">INDEX(clean_weekly_data!$A:$A,$E22)+MOD(ROW()-2,7)</f>
        <v>45676</v>
      </c>
      <c r="B22" s="39" t="str">
        <f t="shared" si="0"/>
        <v>Sunday</v>
      </c>
      <c r="C22" s="58" cm="1">
        <f t="array" ref="C22">INDEX(clean_weekly_data!$C:$I,$E22,MOD(ROW()-2,7)+1)</f>
        <v>6109.2</v>
      </c>
      <c r="D22" s="57" t="str">
        <f>TEXT(A22,"mmm yyyy")</f>
        <v>Jan 2025</v>
      </c>
      <c r="E22" s="39">
        <f t="shared" si="1"/>
        <v>4</v>
      </c>
    </row>
    <row r="23" spans="1:5" s="39" customFormat="1" ht="25" customHeight="1" x14ac:dyDescent="0.15">
      <c r="A23" s="57" cm="1">
        <f t="array" ref="A23">INDEX(clean_weekly_data!$A:$A,$E23)+MOD(ROW()-2,7)</f>
        <v>45677</v>
      </c>
      <c r="B23" s="39" t="str">
        <f t="shared" si="0"/>
        <v>Monday</v>
      </c>
      <c r="C23" s="58" cm="1">
        <f t="array" ref="C23">INDEX(clean_weekly_data!$C:$I,$E23,MOD(ROW()-2,7)+1)</f>
        <v>1724</v>
      </c>
      <c r="D23" s="57" t="str">
        <f>TEXT(A23,"mmm yyyy")</f>
        <v>Jan 2025</v>
      </c>
      <c r="E23" s="39">
        <f t="shared" si="1"/>
        <v>5</v>
      </c>
    </row>
    <row r="24" spans="1:5" s="39" customFormat="1" ht="25" customHeight="1" x14ac:dyDescent="0.15">
      <c r="A24" s="57" cm="1">
        <f t="array" ref="A24">INDEX(clean_weekly_data!$A:$A,$E24)+MOD(ROW()-2,7)</f>
        <v>45678</v>
      </c>
      <c r="B24" s="39" t="str">
        <f t="shared" si="0"/>
        <v>Tuesday</v>
      </c>
      <c r="C24" s="58" cm="1">
        <f t="array" ref="C24">INDEX(clean_weekly_data!$C:$I,$E24,MOD(ROW()-2,7)+1)</f>
        <v>0</v>
      </c>
      <c r="D24" s="57" t="str">
        <f>TEXT(A24,"mmm yyyy")</f>
        <v>Jan 2025</v>
      </c>
      <c r="E24" s="39">
        <f t="shared" si="1"/>
        <v>5</v>
      </c>
    </row>
    <row r="25" spans="1:5" s="39" customFormat="1" ht="25" customHeight="1" x14ac:dyDescent="0.15">
      <c r="A25" s="57" cm="1">
        <f t="array" ref="A25">INDEX(clean_weekly_data!$A:$A,$E25)+MOD(ROW()-2,7)</f>
        <v>45679</v>
      </c>
      <c r="B25" s="39" t="str">
        <f t="shared" si="0"/>
        <v>Wednesday</v>
      </c>
      <c r="C25" s="58" cm="1">
        <f t="array" ref="C25">INDEX(clean_weekly_data!$C:$I,$E25,MOD(ROW()-2,7)+1)</f>
        <v>2215.5</v>
      </c>
      <c r="D25" s="57" t="str">
        <f>TEXT(A25,"mmm yyyy")</f>
        <v>Jan 2025</v>
      </c>
      <c r="E25" s="39">
        <f t="shared" si="1"/>
        <v>5</v>
      </c>
    </row>
    <row r="26" spans="1:5" s="39" customFormat="1" ht="25" customHeight="1" x14ac:dyDescent="0.15">
      <c r="A26" s="57" cm="1">
        <f t="array" ref="A26">INDEX(clean_weekly_data!$A:$A,$E26)+MOD(ROW()-2,7)</f>
        <v>45680</v>
      </c>
      <c r="B26" s="39" t="str">
        <f t="shared" si="0"/>
        <v>Thursday</v>
      </c>
      <c r="C26" s="58" cm="1">
        <f t="array" ref="C26">INDEX(clean_weekly_data!$C:$I,$E26,MOD(ROW()-2,7)+1)</f>
        <v>4748.75</v>
      </c>
      <c r="D26" s="57" t="str">
        <f>TEXT(A26,"mmm yyyy")</f>
        <v>Jan 2025</v>
      </c>
      <c r="E26" s="39">
        <f t="shared" si="1"/>
        <v>5</v>
      </c>
    </row>
    <row r="27" spans="1:5" s="39" customFormat="1" ht="25" customHeight="1" x14ac:dyDescent="0.15">
      <c r="A27" s="57" cm="1">
        <f t="array" ref="A27">INDEX(clean_weekly_data!$A:$A,$E27)+MOD(ROW()-2,7)</f>
        <v>45681</v>
      </c>
      <c r="B27" s="39" t="str">
        <f t="shared" si="0"/>
        <v>Friday</v>
      </c>
      <c r="C27" s="58" cm="1">
        <f t="array" ref="C27">INDEX(clean_weekly_data!$C:$I,$E27,MOD(ROW()-2,7)+1)</f>
        <v>12688.2</v>
      </c>
      <c r="D27" s="57" t="str">
        <f>TEXT(A27,"mmm yyyy")</f>
        <v>Jan 2025</v>
      </c>
      <c r="E27" s="39">
        <f t="shared" si="1"/>
        <v>5</v>
      </c>
    </row>
    <row r="28" spans="1:5" s="39" customFormat="1" ht="25" customHeight="1" x14ac:dyDescent="0.15">
      <c r="A28" s="57" cm="1">
        <f t="array" ref="A28">INDEX(clean_weekly_data!$A:$A,$E28)+MOD(ROW()-2,7)</f>
        <v>45682</v>
      </c>
      <c r="B28" s="39" t="str">
        <f t="shared" si="0"/>
        <v>Saturday</v>
      </c>
      <c r="C28" s="58" cm="1">
        <f t="array" ref="C28">INDEX(clean_weekly_data!$C:$I,$E28,MOD(ROW()-2,7)+1)</f>
        <v>14742.33</v>
      </c>
      <c r="D28" s="57" t="str">
        <f>TEXT(A28,"mmm yyyy")</f>
        <v>Jan 2025</v>
      </c>
      <c r="E28" s="39">
        <f t="shared" si="1"/>
        <v>5</v>
      </c>
    </row>
    <row r="29" spans="1:5" s="39" customFormat="1" ht="25" customHeight="1" x14ac:dyDescent="0.15">
      <c r="A29" s="57" cm="1">
        <f t="array" ref="A29">INDEX(clean_weekly_data!$A:$A,$E29)+MOD(ROW()-2,7)</f>
        <v>45683</v>
      </c>
      <c r="B29" s="39" t="str">
        <f t="shared" si="0"/>
        <v>Sunday</v>
      </c>
      <c r="C29" s="58" cm="1">
        <f t="array" ref="C29">INDEX(clean_weekly_data!$C:$I,$E29,MOD(ROW()-2,7)+1)</f>
        <v>3842.2</v>
      </c>
      <c r="D29" s="57" t="str">
        <f>TEXT(A29,"mmm yyyy")</f>
        <v>Jan 2025</v>
      </c>
      <c r="E29" s="39">
        <f t="shared" si="1"/>
        <v>5</v>
      </c>
    </row>
    <row r="30" spans="1:5" s="39" customFormat="1" ht="25" customHeight="1" x14ac:dyDescent="0.15">
      <c r="A30" s="57" cm="1">
        <f t="array" ref="A30">INDEX(clean_weekly_data!$A:$A,$E30)+MOD(ROW()-2,7)</f>
        <v>45684</v>
      </c>
      <c r="B30" s="39" t="str">
        <f t="shared" si="0"/>
        <v>Monday</v>
      </c>
      <c r="C30" s="58" cm="1">
        <f t="array" ref="C30">INDEX(clean_weekly_data!$C:$I,$E30,MOD(ROW()-2,7)+1)</f>
        <v>3493.05</v>
      </c>
      <c r="D30" s="57" t="str">
        <f>TEXT(A30,"mmm yyyy")</f>
        <v>Jan 2025</v>
      </c>
      <c r="E30" s="39">
        <f t="shared" si="1"/>
        <v>6</v>
      </c>
    </row>
    <row r="31" spans="1:5" ht="25" customHeight="1" x14ac:dyDescent="0.15">
      <c r="A31" s="57" cm="1">
        <f t="array" ref="A31">INDEX(clean_weekly_data!$A:$A,$E31)+MOD(ROW()-2,7)</f>
        <v>45685</v>
      </c>
      <c r="B31" s="39" t="str">
        <f t="shared" si="0"/>
        <v>Tuesday</v>
      </c>
      <c r="C31" s="58" cm="1">
        <f t="array" ref="C31">INDEX(clean_weekly_data!$C:$I,$E31,MOD(ROW()-2,7)+1)</f>
        <v>0</v>
      </c>
      <c r="D31" s="57" t="str">
        <f>TEXT(A31,"mmm yyyy")</f>
        <v>Jan 2025</v>
      </c>
      <c r="E31" s="39">
        <f t="shared" si="1"/>
        <v>6</v>
      </c>
    </row>
    <row r="32" spans="1:5" ht="25" customHeight="1" x14ac:dyDescent="0.15">
      <c r="A32" s="57" cm="1">
        <f t="array" ref="A32">INDEX(clean_weekly_data!$A:$A,$E32)+MOD(ROW()-2,7)</f>
        <v>45686</v>
      </c>
      <c r="B32" s="39" t="str">
        <f t="shared" si="0"/>
        <v>Wednesday</v>
      </c>
      <c r="C32" s="58" cm="1">
        <f t="array" ref="C32">INDEX(clean_weekly_data!$C:$I,$E32,MOD(ROW()-2,7)+1)</f>
        <v>4034.15</v>
      </c>
      <c r="D32" s="57" t="str">
        <f>TEXT(A32,"mmm yyyy")</f>
        <v>Jan 2025</v>
      </c>
      <c r="E32" s="39">
        <f t="shared" si="1"/>
        <v>6</v>
      </c>
    </row>
    <row r="33" spans="1:5" ht="25" customHeight="1" x14ac:dyDescent="0.15">
      <c r="A33" s="57" cm="1">
        <f t="array" ref="A33">INDEX(clean_weekly_data!$A:$A,$E33)+MOD(ROW()-2,7)</f>
        <v>45687</v>
      </c>
      <c r="B33" s="39" t="str">
        <f t="shared" si="0"/>
        <v>Thursday</v>
      </c>
      <c r="C33" s="58" cm="1">
        <f t="array" ref="C33">INDEX(clean_weekly_data!$C:$I,$E33,MOD(ROW()-2,7)+1)</f>
        <v>3766.75</v>
      </c>
      <c r="D33" s="57" t="str">
        <f>TEXT(A33,"mmm yyyy")</f>
        <v>Jan 2025</v>
      </c>
      <c r="E33" s="39">
        <f t="shared" si="1"/>
        <v>6</v>
      </c>
    </row>
    <row r="34" spans="1:5" ht="25" customHeight="1" x14ac:dyDescent="0.15">
      <c r="A34" s="57" cm="1">
        <f t="array" ref="A34">INDEX(clean_weekly_data!$A:$A,$E34)+MOD(ROW()-2,7)</f>
        <v>45688</v>
      </c>
      <c r="B34" s="39" t="str">
        <f t="shared" si="0"/>
        <v>Friday</v>
      </c>
      <c r="C34" s="58" cm="1">
        <f t="array" ref="C34">INDEX(clean_weekly_data!$C:$I,$E34,MOD(ROW()-2,7)+1)</f>
        <v>10237.15</v>
      </c>
      <c r="D34" s="57" t="str">
        <f>TEXT(A34,"mmm yyyy")</f>
        <v>Jan 2025</v>
      </c>
      <c r="E34" s="39">
        <f t="shared" si="1"/>
        <v>6</v>
      </c>
    </row>
    <row r="35" spans="1:5" ht="25" customHeight="1" x14ac:dyDescent="0.15">
      <c r="A35" s="57" cm="1">
        <f t="array" ref="A35">INDEX(clean_weekly_data!$A:$A,$E35)+MOD(ROW()-2,7)</f>
        <v>45689</v>
      </c>
      <c r="B35" s="39" t="str">
        <f t="shared" si="0"/>
        <v>Saturday</v>
      </c>
      <c r="C35" s="58" cm="1">
        <f t="array" ref="C35">INDEX(clean_weekly_data!$C:$I,$E35,MOD(ROW()-2,7)+1)</f>
        <v>15657.91</v>
      </c>
      <c r="D35" s="57" t="str">
        <f>TEXT(A35,"mmm yyyy")</f>
        <v>Feb 2025</v>
      </c>
      <c r="E35" s="39">
        <f t="shared" si="1"/>
        <v>6</v>
      </c>
    </row>
    <row r="36" spans="1:5" ht="25" customHeight="1" x14ac:dyDescent="0.15">
      <c r="A36" s="57" cm="1">
        <f t="array" ref="A36">INDEX(clean_weekly_data!$A:$A,$E36)+MOD(ROW()-2,7)</f>
        <v>45690</v>
      </c>
      <c r="B36" s="39" t="str">
        <f t="shared" si="0"/>
        <v>Sunday</v>
      </c>
      <c r="C36" s="58" cm="1">
        <f t="array" ref="C36">INDEX(clean_weekly_data!$C:$I,$E36,MOD(ROW()-2,7)+1)</f>
        <v>5008.25</v>
      </c>
      <c r="D36" s="57" t="str">
        <f>TEXT(A36,"mmm yyyy")</f>
        <v>Feb 2025</v>
      </c>
      <c r="E36" s="39">
        <f t="shared" si="1"/>
        <v>6</v>
      </c>
    </row>
    <row r="37" spans="1:5" ht="25" customHeight="1" x14ac:dyDescent="0.15">
      <c r="A37" s="57" cm="1">
        <f t="array" ref="A37">INDEX(clean_weekly_data!$A:$A,$E37)+MOD(ROW()-2,7)</f>
        <v>45691</v>
      </c>
      <c r="B37" s="39" t="str">
        <f t="shared" si="0"/>
        <v>Monday</v>
      </c>
      <c r="C37" s="58" cm="1">
        <f t="array" ref="C37">INDEX(clean_weekly_data!$C:$I,$E37,MOD(ROW()-2,7)+1)</f>
        <v>2809.11</v>
      </c>
      <c r="D37" s="57" t="str">
        <f t="shared" ref="D37:D100" si="2">TEXT(A37,"mmm yyyy")</f>
        <v>Feb 2025</v>
      </c>
      <c r="E37" s="39">
        <f t="shared" si="1"/>
        <v>7</v>
      </c>
    </row>
    <row r="38" spans="1:5" ht="25" customHeight="1" x14ac:dyDescent="0.15">
      <c r="A38" s="57" cm="1">
        <f t="array" ref="A38">INDEX(clean_weekly_data!$A:$A,$E38)+MOD(ROW()-2,7)</f>
        <v>45692</v>
      </c>
      <c r="B38" s="39" t="str">
        <f t="shared" si="0"/>
        <v>Tuesday</v>
      </c>
      <c r="C38" s="58" cm="1">
        <f t="array" ref="C38">INDEX(clean_weekly_data!$C:$I,$E38,MOD(ROW()-2,7)+1)</f>
        <v>4391</v>
      </c>
      <c r="D38" s="57" t="str">
        <f t="shared" si="2"/>
        <v>Feb 2025</v>
      </c>
      <c r="E38" s="39">
        <f t="shared" si="1"/>
        <v>7</v>
      </c>
    </row>
    <row r="39" spans="1:5" ht="25" customHeight="1" x14ac:dyDescent="0.15">
      <c r="A39" s="57" cm="1">
        <f t="array" ref="A39">INDEX(clean_weekly_data!$A:$A,$E39)+MOD(ROW()-2,7)</f>
        <v>45693</v>
      </c>
      <c r="B39" s="39" t="str">
        <f t="shared" si="0"/>
        <v>Wednesday</v>
      </c>
      <c r="C39" s="58" cm="1">
        <f t="array" ref="C39">INDEX(clean_weekly_data!$C:$I,$E39,MOD(ROW()-2,7)+1)</f>
        <v>3380.3</v>
      </c>
      <c r="D39" s="57" t="str">
        <f t="shared" si="2"/>
        <v>Feb 2025</v>
      </c>
      <c r="E39" s="39">
        <f t="shared" si="1"/>
        <v>7</v>
      </c>
    </row>
    <row r="40" spans="1:5" ht="25" customHeight="1" x14ac:dyDescent="0.15">
      <c r="A40" s="57" cm="1">
        <f t="array" ref="A40">INDEX(clean_weekly_data!$A:$A,$E40)+MOD(ROW()-2,7)</f>
        <v>45694</v>
      </c>
      <c r="B40" s="39" t="str">
        <f t="shared" si="0"/>
        <v>Thursday</v>
      </c>
      <c r="C40" s="58" cm="1">
        <f t="array" ref="C40">INDEX(clean_weekly_data!$C:$I,$E40,MOD(ROW()-2,7)+1)</f>
        <v>4906</v>
      </c>
      <c r="D40" s="57" t="str">
        <f t="shared" si="2"/>
        <v>Feb 2025</v>
      </c>
      <c r="E40" s="39">
        <f t="shared" si="1"/>
        <v>7</v>
      </c>
    </row>
    <row r="41" spans="1:5" ht="25" customHeight="1" x14ac:dyDescent="0.15">
      <c r="A41" s="57" cm="1">
        <f t="array" ref="A41">INDEX(clean_weekly_data!$A:$A,$E41)+MOD(ROW()-2,7)</f>
        <v>45695</v>
      </c>
      <c r="B41" s="39" t="str">
        <f t="shared" si="0"/>
        <v>Friday</v>
      </c>
      <c r="C41" s="58" cm="1">
        <f t="array" ref="C41">INDEX(clean_weekly_data!$C:$I,$E41,MOD(ROW()-2,7)+1)</f>
        <v>8830.4500000000007</v>
      </c>
      <c r="D41" s="57" t="str">
        <f t="shared" si="2"/>
        <v>Feb 2025</v>
      </c>
      <c r="E41" s="39">
        <f t="shared" si="1"/>
        <v>7</v>
      </c>
    </row>
    <row r="42" spans="1:5" ht="25" customHeight="1" x14ac:dyDescent="0.15">
      <c r="A42" s="57" cm="1">
        <f t="array" ref="A42">INDEX(clean_weekly_data!$A:$A,$E42)+MOD(ROW()-2,7)</f>
        <v>45696</v>
      </c>
      <c r="B42" s="39" t="str">
        <f t="shared" si="0"/>
        <v>Saturday</v>
      </c>
      <c r="C42" s="58" cm="1">
        <f t="array" ref="C42">INDEX(clean_weekly_data!$C:$I,$E42,MOD(ROW()-2,7)+1)</f>
        <v>12087.75</v>
      </c>
      <c r="D42" s="57" t="str">
        <f t="shared" si="2"/>
        <v>Feb 2025</v>
      </c>
      <c r="E42" s="39">
        <f t="shared" si="1"/>
        <v>7</v>
      </c>
    </row>
    <row r="43" spans="1:5" ht="25" customHeight="1" x14ac:dyDescent="0.15">
      <c r="A43" s="57" cm="1">
        <f t="array" ref="A43">INDEX(clean_weekly_data!$A:$A,$E43)+MOD(ROW()-2,7)</f>
        <v>45697</v>
      </c>
      <c r="B43" s="39" t="str">
        <f t="shared" si="0"/>
        <v>Sunday</v>
      </c>
      <c r="C43" s="58" cm="1">
        <f t="array" ref="C43">INDEX(clean_weekly_data!$C:$I,$E43,MOD(ROW()-2,7)+1)</f>
        <v>1122</v>
      </c>
      <c r="D43" s="57" t="str">
        <f t="shared" si="2"/>
        <v>Feb 2025</v>
      </c>
      <c r="E43" s="39">
        <f t="shared" si="1"/>
        <v>7</v>
      </c>
    </row>
    <row r="44" spans="1:5" ht="25" customHeight="1" x14ac:dyDescent="0.15">
      <c r="A44" s="57" cm="1">
        <f t="array" ref="A44">INDEX(clean_weekly_data!$A:$A,$E44)+MOD(ROW()-2,7)</f>
        <v>45698</v>
      </c>
      <c r="B44" s="39" t="str">
        <f t="shared" si="0"/>
        <v>Monday</v>
      </c>
      <c r="C44" s="58" cm="1">
        <f t="array" ref="C44">INDEX(clean_weekly_data!$C:$I,$E44,MOD(ROW()-2,7)+1)</f>
        <v>1424</v>
      </c>
      <c r="D44" s="57" t="str">
        <f t="shared" si="2"/>
        <v>Feb 2025</v>
      </c>
      <c r="E44" s="39">
        <f t="shared" si="1"/>
        <v>8</v>
      </c>
    </row>
    <row r="45" spans="1:5" ht="25" customHeight="1" x14ac:dyDescent="0.15">
      <c r="A45" s="57" cm="1">
        <f t="array" ref="A45">INDEX(clean_weekly_data!$A:$A,$E45)+MOD(ROW()-2,7)</f>
        <v>45699</v>
      </c>
      <c r="B45" s="39" t="str">
        <f t="shared" si="0"/>
        <v>Tuesday</v>
      </c>
      <c r="C45" s="58" cm="1">
        <f t="array" ref="C45">INDEX(clean_weekly_data!$C:$I,$E45,MOD(ROW()-2,7)+1)</f>
        <v>0</v>
      </c>
      <c r="D45" s="57" t="str">
        <f t="shared" si="2"/>
        <v>Feb 2025</v>
      </c>
      <c r="E45" s="39">
        <f t="shared" si="1"/>
        <v>8</v>
      </c>
    </row>
    <row r="46" spans="1:5" ht="25" customHeight="1" x14ac:dyDescent="0.15">
      <c r="A46" s="57" cm="1">
        <f t="array" ref="A46">INDEX(clean_weekly_data!$A:$A,$E46)+MOD(ROW()-2,7)</f>
        <v>45700</v>
      </c>
      <c r="B46" s="39" t="str">
        <f t="shared" si="0"/>
        <v>Wednesday</v>
      </c>
      <c r="C46" s="58" cm="1">
        <f t="array" ref="C46">INDEX(clean_weekly_data!$C:$I,$E46,MOD(ROW()-2,7)+1)</f>
        <v>1854</v>
      </c>
      <c r="D46" s="57" t="str">
        <f t="shared" si="2"/>
        <v>Feb 2025</v>
      </c>
      <c r="E46" s="39">
        <f t="shared" si="1"/>
        <v>8</v>
      </c>
    </row>
    <row r="47" spans="1:5" ht="25" customHeight="1" x14ac:dyDescent="0.15">
      <c r="A47" s="57" cm="1">
        <f t="array" ref="A47">INDEX(clean_weekly_data!$A:$A,$E47)+MOD(ROW()-2,7)</f>
        <v>45701</v>
      </c>
      <c r="B47" s="39" t="str">
        <f t="shared" si="0"/>
        <v>Thursday</v>
      </c>
      <c r="C47" s="58" cm="1">
        <f t="array" ref="C47">INDEX(clean_weekly_data!$C:$I,$E47,MOD(ROW()-2,7)+1)</f>
        <v>6612</v>
      </c>
      <c r="D47" s="57" t="str">
        <f t="shared" si="2"/>
        <v>Feb 2025</v>
      </c>
      <c r="E47" s="39">
        <f t="shared" si="1"/>
        <v>8</v>
      </c>
    </row>
    <row r="48" spans="1:5" ht="25" customHeight="1" x14ac:dyDescent="0.15">
      <c r="A48" s="57" cm="1">
        <f t="array" ref="A48">INDEX(clean_weekly_data!$A:$A,$E48)+MOD(ROW()-2,7)</f>
        <v>45702</v>
      </c>
      <c r="B48" s="39" t="str">
        <f t="shared" si="0"/>
        <v>Friday</v>
      </c>
      <c r="C48" s="58" cm="1">
        <f t="array" ref="C48">INDEX(clean_weekly_data!$C:$I,$E48,MOD(ROW()-2,7)+1)</f>
        <v>16427</v>
      </c>
      <c r="D48" s="57" t="str">
        <f t="shared" si="2"/>
        <v>Feb 2025</v>
      </c>
      <c r="E48" s="39">
        <f t="shared" si="1"/>
        <v>8</v>
      </c>
    </row>
    <row r="49" spans="1:5" ht="25" customHeight="1" x14ac:dyDescent="0.15">
      <c r="A49" s="57" cm="1">
        <f t="array" ref="A49">INDEX(clean_weekly_data!$A:$A,$E49)+MOD(ROW()-2,7)</f>
        <v>45703</v>
      </c>
      <c r="B49" s="39" t="str">
        <f t="shared" si="0"/>
        <v>Saturday</v>
      </c>
      <c r="C49" s="58" cm="1">
        <f t="array" ref="C49">INDEX(clean_weekly_data!$C:$I,$E49,MOD(ROW()-2,7)+1)</f>
        <v>15530</v>
      </c>
      <c r="D49" s="57" t="str">
        <f t="shared" si="2"/>
        <v>Feb 2025</v>
      </c>
      <c r="E49" s="39">
        <f t="shared" si="1"/>
        <v>8</v>
      </c>
    </row>
    <row r="50" spans="1:5" ht="25" customHeight="1" x14ac:dyDescent="0.15">
      <c r="A50" s="57" cm="1">
        <f t="array" ref="A50">INDEX(clean_weekly_data!$A:$A,$E50)+MOD(ROW()-2,7)</f>
        <v>45704</v>
      </c>
      <c r="B50" s="39" t="str">
        <f t="shared" si="0"/>
        <v>Sunday</v>
      </c>
      <c r="C50" s="58" cm="1">
        <f t="array" ref="C50">INDEX(clean_weekly_data!$C:$I,$E50,MOD(ROW()-2,7)+1)</f>
        <v>7548</v>
      </c>
      <c r="D50" s="57" t="str">
        <f t="shared" si="2"/>
        <v>Feb 2025</v>
      </c>
      <c r="E50" s="39">
        <f t="shared" si="1"/>
        <v>8</v>
      </c>
    </row>
    <row r="51" spans="1:5" ht="25" customHeight="1" x14ac:dyDescent="0.15">
      <c r="A51" s="57" cm="1">
        <f t="array" ref="A51">INDEX(clean_weekly_data!$A:$A,$E51)+MOD(ROW()-2,7)</f>
        <v>45705</v>
      </c>
      <c r="B51" s="39" t="str">
        <f t="shared" si="0"/>
        <v>Monday</v>
      </c>
      <c r="C51" s="58" cm="1">
        <f t="array" ref="C51">INDEX(clean_weekly_data!$C:$I,$E51,MOD(ROW()-2,7)+1)</f>
        <v>1873</v>
      </c>
      <c r="D51" s="57" t="str">
        <f t="shared" si="2"/>
        <v>Feb 2025</v>
      </c>
      <c r="E51" s="39">
        <f t="shared" si="1"/>
        <v>9</v>
      </c>
    </row>
    <row r="52" spans="1:5" ht="25" customHeight="1" x14ac:dyDescent="0.15">
      <c r="A52" s="57" cm="1">
        <f t="array" ref="A52">INDEX(clean_weekly_data!$A:$A,$E52)+MOD(ROW()-2,7)</f>
        <v>45706</v>
      </c>
      <c r="B52" s="39" t="str">
        <f t="shared" si="0"/>
        <v>Tuesday</v>
      </c>
      <c r="C52" s="58" cm="1">
        <f t="array" ref="C52">INDEX(clean_weekly_data!$C:$I,$E52,MOD(ROW()-2,7)+1)</f>
        <v>0</v>
      </c>
      <c r="D52" s="57" t="str">
        <f t="shared" si="2"/>
        <v>Feb 2025</v>
      </c>
      <c r="E52" s="39">
        <f t="shared" si="1"/>
        <v>9</v>
      </c>
    </row>
    <row r="53" spans="1:5" ht="25" customHeight="1" x14ac:dyDescent="0.15">
      <c r="A53" s="57" cm="1">
        <f t="array" ref="A53">INDEX(clean_weekly_data!$A:$A,$E53)+MOD(ROW()-2,7)</f>
        <v>45707</v>
      </c>
      <c r="B53" s="39" t="str">
        <f t="shared" si="0"/>
        <v>Wednesday</v>
      </c>
      <c r="C53" s="58" cm="1">
        <f t="array" ref="C53">INDEX(clean_weekly_data!$C:$I,$E53,MOD(ROW()-2,7)+1)</f>
        <v>3576</v>
      </c>
      <c r="D53" s="57" t="str">
        <f t="shared" si="2"/>
        <v>Feb 2025</v>
      </c>
      <c r="E53" s="39">
        <f t="shared" si="1"/>
        <v>9</v>
      </c>
    </row>
    <row r="54" spans="1:5" ht="25" customHeight="1" x14ac:dyDescent="0.15">
      <c r="A54" s="57" cm="1">
        <f t="array" ref="A54">INDEX(clean_weekly_data!$A:$A,$E54)+MOD(ROW()-2,7)</f>
        <v>45708</v>
      </c>
      <c r="B54" s="39" t="str">
        <f t="shared" si="0"/>
        <v>Thursday</v>
      </c>
      <c r="C54" s="58" cm="1">
        <f t="array" ref="C54">INDEX(clean_weekly_data!$C:$I,$E54,MOD(ROW()-2,7)+1)</f>
        <v>3388</v>
      </c>
      <c r="D54" s="57" t="str">
        <f t="shared" si="2"/>
        <v>Feb 2025</v>
      </c>
      <c r="E54" s="39">
        <f t="shared" si="1"/>
        <v>9</v>
      </c>
    </row>
    <row r="55" spans="1:5" ht="25" customHeight="1" x14ac:dyDescent="0.15">
      <c r="A55" s="57" cm="1">
        <f t="array" ref="A55">INDEX(clean_weekly_data!$A:$A,$E55)+MOD(ROW()-2,7)</f>
        <v>45709</v>
      </c>
      <c r="B55" s="39" t="str">
        <f t="shared" si="0"/>
        <v>Friday</v>
      </c>
      <c r="C55" s="58" cm="1">
        <f t="array" ref="C55">INDEX(clean_weekly_data!$C:$I,$E55,MOD(ROW()-2,7)+1)</f>
        <v>10389</v>
      </c>
      <c r="D55" s="57" t="str">
        <f t="shared" si="2"/>
        <v>Feb 2025</v>
      </c>
      <c r="E55" s="39">
        <f t="shared" si="1"/>
        <v>9</v>
      </c>
    </row>
    <row r="56" spans="1:5" ht="25" customHeight="1" x14ac:dyDescent="0.15">
      <c r="A56" s="57" cm="1">
        <f t="array" ref="A56">INDEX(clean_weekly_data!$A:$A,$E56)+MOD(ROW()-2,7)</f>
        <v>45710</v>
      </c>
      <c r="B56" s="39" t="str">
        <f t="shared" si="0"/>
        <v>Saturday</v>
      </c>
      <c r="C56" s="58" cm="1">
        <f t="array" ref="C56">INDEX(clean_weekly_data!$C:$I,$E56,MOD(ROW()-2,7)+1)</f>
        <v>13440</v>
      </c>
      <c r="D56" s="57" t="str">
        <f t="shared" si="2"/>
        <v>Feb 2025</v>
      </c>
      <c r="E56" s="39">
        <f t="shared" si="1"/>
        <v>9</v>
      </c>
    </row>
    <row r="57" spans="1:5" ht="25" customHeight="1" x14ac:dyDescent="0.15">
      <c r="A57" s="57" cm="1">
        <f t="array" ref="A57">INDEX(clean_weekly_data!$A:$A,$E57)+MOD(ROW()-2,7)</f>
        <v>45711</v>
      </c>
      <c r="B57" s="39" t="str">
        <f t="shared" si="0"/>
        <v>Sunday</v>
      </c>
      <c r="C57" s="58" cm="1">
        <f t="array" ref="C57">INDEX(clean_weekly_data!$C:$I,$E57,MOD(ROW()-2,7)+1)</f>
        <v>4428</v>
      </c>
      <c r="D57" s="57" t="str">
        <f t="shared" si="2"/>
        <v>Feb 2025</v>
      </c>
      <c r="E57" s="39">
        <f t="shared" si="1"/>
        <v>9</v>
      </c>
    </row>
    <row r="58" spans="1:5" ht="25" customHeight="1" x14ac:dyDescent="0.15">
      <c r="A58" s="57" cm="1">
        <f t="array" ref="A58">INDEX(clean_weekly_data!$A:$A,$E58)+MOD(ROW()-2,7)</f>
        <v>45712</v>
      </c>
      <c r="B58" s="39" t="str">
        <f t="shared" si="0"/>
        <v>Monday</v>
      </c>
      <c r="C58" s="58" cm="1">
        <f t="array" ref="C58">INDEX(clean_weekly_data!$C:$I,$E58,MOD(ROW()-2,7)+1)</f>
        <v>2144</v>
      </c>
      <c r="D58" s="57" t="str">
        <f t="shared" si="2"/>
        <v>Feb 2025</v>
      </c>
      <c r="E58" s="39">
        <f t="shared" si="1"/>
        <v>10</v>
      </c>
    </row>
    <row r="59" spans="1:5" ht="25" customHeight="1" x14ac:dyDescent="0.15">
      <c r="A59" s="57" cm="1">
        <f t="array" ref="A59">INDEX(clean_weekly_data!$A:$A,$E59)+MOD(ROW()-2,7)</f>
        <v>45713</v>
      </c>
      <c r="B59" s="39" t="str">
        <f t="shared" si="0"/>
        <v>Tuesday</v>
      </c>
      <c r="C59" s="58" cm="1">
        <f t="array" ref="C59">INDEX(clean_weekly_data!$C:$I,$E59,MOD(ROW()-2,7)+1)</f>
        <v>0</v>
      </c>
      <c r="D59" s="57" t="str">
        <f t="shared" si="2"/>
        <v>Feb 2025</v>
      </c>
      <c r="E59" s="39">
        <f t="shared" si="1"/>
        <v>10</v>
      </c>
    </row>
    <row r="60" spans="1:5" ht="25" customHeight="1" x14ac:dyDescent="0.15">
      <c r="A60" s="57" cm="1">
        <f t="array" ref="A60">INDEX(clean_weekly_data!$A:$A,$E60)+MOD(ROW()-2,7)</f>
        <v>45714</v>
      </c>
      <c r="B60" s="39" t="str">
        <f t="shared" si="0"/>
        <v>Wednesday</v>
      </c>
      <c r="C60" s="58" cm="1">
        <f t="array" ref="C60">INDEX(clean_weekly_data!$C:$I,$E60,MOD(ROW()-2,7)+1)</f>
        <v>2466</v>
      </c>
      <c r="D60" s="57" t="str">
        <f t="shared" si="2"/>
        <v>Feb 2025</v>
      </c>
      <c r="E60" s="39">
        <f t="shared" si="1"/>
        <v>10</v>
      </c>
    </row>
    <row r="61" spans="1:5" ht="25" customHeight="1" x14ac:dyDescent="0.15">
      <c r="A61" s="57" cm="1">
        <f t="array" ref="A61">INDEX(clean_weekly_data!$A:$A,$E61)+MOD(ROW()-2,7)</f>
        <v>45715</v>
      </c>
      <c r="B61" s="39" t="str">
        <f t="shared" si="0"/>
        <v>Thursday</v>
      </c>
      <c r="C61" s="58" cm="1">
        <f t="array" ref="C61">INDEX(clean_weekly_data!$C:$I,$E61,MOD(ROW()-2,7)+1)</f>
        <v>5886</v>
      </c>
      <c r="D61" s="57" t="str">
        <f t="shared" si="2"/>
        <v>Feb 2025</v>
      </c>
      <c r="E61" s="39">
        <f t="shared" si="1"/>
        <v>10</v>
      </c>
    </row>
    <row r="62" spans="1:5" ht="25" customHeight="1" x14ac:dyDescent="0.15">
      <c r="A62" s="57" cm="1">
        <f t="array" ref="A62">INDEX(clean_weekly_data!$A:$A,$E62)+MOD(ROW()-2,7)</f>
        <v>45716</v>
      </c>
      <c r="B62" s="39" t="str">
        <f t="shared" si="0"/>
        <v>Friday</v>
      </c>
      <c r="C62" s="58" cm="1">
        <f t="array" ref="C62">INDEX(clean_weekly_data!$C:$I,$E62,MOD(ROW()-2,7)+1)</f>
        <v>10886</v>
      </c>
      <c r="D62" s="57" t="str">
        <f t="shared" si="2"/>
        <v>Feb 2025</v>
      </c>
      <c r="E62" s="39">
        <f t="shared" si="1"/>
        <v>10</v>
      </c>
    </row>
    <row r="63" spans="1:5" ht="25" customHeight="1" x14ac:dyDescent="0.15">
      <c r="A63" s="57" cm="1">
        <f t="array" ref="A63">INDEX(clean_weekly_data!$A:$A,$E63)+MOD(ROW()-2,7)</f>
        <v>45717</v>
      </c>
      <c r="B63" s="39" t="str">
        <f t="shared" si="0"/>
        <v>Saturday</v>
      </c>
      <c r="C63" s="58" cm="1">
        <f t="array" ref="C63">INDEX(clean_weekly_data!$C:$I,$E63,MOD(ROW()-2,7)+1)</f>
        <v>13701</v>
      </c>
      <c r="D63" s="57" t="str">
        <f t="shared" si="2"/>
        <v>Mar 2025</v>
      </c>
      <c r="E63" s="39">
        <f t="shared" si="1"/>
        <v>10</v>
      </c>
    </row>
    <row r="64" spans="1:5" ht="25" customHeight="1" x14ac:dyDescent="0.15">
      <c r="A64" s="57" cm="1">
        <f t="array" ref="A64">INDEX(clean_weekly_data!$A:$A,$E64)+MOD(ROW()-2,7)</f>
        <v>45718</v>
      </c>
      <c r="B64" s="39" t="str">
        <f t="shared" si="0"/>
        <v>Sunday</v>
      </c>
      <c r="C64" s="58" cm="1">
        <f t="array" ref="C64">INDEX(clean_weekly_data!$C:$I,$E64,MOD(ROW()-2,7)+1)</f>
        <v>5490</v>
      </c>
      <c r="D64" s="57" t="str">
        <f t="shared" si="2"/>
        <v>Mar 2025</v>
      </c>
      <c r="E64" s="39">
        <f t="shared" si="1"/>
        <v>10</v>
      </c>
    </row>
    <row r="65" spans="1:5" ht="25" customHeight="1" x14ac:dyDescent="0.15">
      <c r="A65" s="57" cm="1">
        <f t="array" ref="A65">INDEX(clean_weekly_data!$A:$A,$E65)+MOD(ROW()-2,7)</f>
        <v>45719</v>
      </c>
      <c r="B65" s="39" t="str">
        <f t="shared" si="0"/>
        <v>Monday</v>
      </c>
      <c r="C65" s="58" cm="1">
        <f t="array" ref="C65">INDEX(clean_weekly_data!$C:$I,$E65,MOD(ROW()-2,7)+1)</f>
        <v>1961</v>
      </c>
      <c r="D65" s="57" t="str">
        <f t="shared" si="2"/>
        <v>Mar 2025</v>
      </c>
      <c r="E65" s="39">
        <f t="shared" si="1"/>
        <v>11</v>
      </c>
    </row>
    <row r="66" spans="1:5" ht="25" customHeight="1" x14ac:dyDescent="0.15">
      <c r="A66" s="57" cm="1">
        <f t="array" ref="A66">INDEX(clean_weekly_data!$A:$A,$E66)+MOD(ROW()-2,7)</f>
        <v>45720</v>
      </c>
      <c r="B66" s="39" t="str">
        <f t="shared" si="0"/>
        <v>Tuesday</v>
      </c>
      <c r="C66" s="58" cm="1">
        <f t="array" ref="C66">INDEX(clean_weekly_data!$C:$I,$E66,MOD(ROW()-2,7)+1)</f>
        <v>0</v>
      </c>
      <c r="D66" s="57" t="str">
        <f t="shared" si="2"/>
        <v>Mar 2025</v>
      </c>
      <c r="E66" s="39">
        <f t="shared" si="1"/>
        <v>11</v>
      </c>
    </row>
    <row r="67" spans="1:5" ht="25" customHeight="1" x14ac:dyDescent="0.15">
      <c r="A67" s="57" cm="1">
        <f t="array" ref="A67">INDEX(clean_weekly_data!$A:$A,$E67)+MOD(ROW()-2,7)</f>
        <v>45721</v>
      </c>
      <c r="B67" s="39" t="str">
        <f t="shared" ref="B67:B130" si="3">CHOOSE(MOD(ROW()-2,7)+1,"Monday","Tuesday","Wednesday","Thursday","Friday","Saturday","Sunday")</f>
        <v>Wednesday</v>
      </c>
      <c r="C67" s="58" cm="1">
        <f t="array" ref="C67">INDEX(clean_weekly_data!$C:$I,$E67,MOD(ROW()-2,7)+1)</f>
        <v>3458</v>
      </c>
      <c r="D67" s="57" t="str">
        <f t="shared" si="2"/>
        <v>Mar 2025</v>
      </c>
      <c r="E67" s="39">
        <f t="shared" ref="E67:E130" si="4">INT((ROW()-2)/7)+2</f>
        <v>11</v>
      </c>
    </row>
    <row r="68" spans="1:5" ht="25" customHeight="1" x14ac:dyDescent="0.15">
      <c r="A68" s="57" cm="1">
        <f t="array" ref="A68">INDEX(clean_weekly_data!$A:$A,$E68)+MOD(ROW()-2,7)</f>
        <v>45722</v>
      </c>
      <c r="B68" s="39" t="str">
        <f t="shared" si="3"/>
        <v>Thursday</v>
      </c>
      <c r="C68" s="58" cm="1">
        <f t="array" ref="C68">INDEX(clean_weekly_data!$C:$I,$E68,MOD(ROW()-2,7)+1)</f>
        <v>2996.6</v>
      </c>
      <c r="D68" s="57" t="str">
        <f t="shared" si="2"/>
        <v>Mar 2025</v>
      </c>
      <c r="E68" s="39">
        <f t="shared" si="4"/>
        <v>11</v>
      </c>
    </row>
    <row r="69" spans="1:5" ht="25" customHeight="1" x14ac:dyDescent="0.15">
      <c r="A69" s="57" cm="1">
        <f t="array" ref="A69">INDEX(clean_weekly_data!$A:$A,$E69)+MOD(ROW()-2,7)</f>
        <v>45723</v>
      </c>
      <c r="B69" s="39" t="str">
        <f t="shared" si="3"/>
        <v>Friday</v>
      </c>
      <c r="C69" s="58" cm="1">
        <f t="array" ref="C69">INDEX(clean_weekly_data!$C:$I,$E69,MOD(ROW()-2,7)+1)</f>
        <v>10998</v>
      </c>
      <c r="D69" s="57" t="str">
        <f t="shared" si="2"/>
        <v>Mar 2025</v>
      </c>
      <c r="E69" s="39">
        <f t="shared" si="4"/>
        <v>11</v>
      </c>
    </row>
    <row r="70" spans="1:5" ht="25" customHeight="1" x14ac:dyDescent="0.15">
      <c r="A70" s="57" cm="1">
        <f t="array" ref="A70">INDEX(clean_weekly_data!$A:$A,$E70)+MOD(ROW()-2,7)</f>
        <v>45724</v>
      </c>
      <c r="B70" s="39" t="str">
        <f t="shared" si="3"/>
        <v>Saturday</v>
      </c>
      <c r="C70" s="58" cm="1">
        <f t="array" ref="C70">INDEX(clean_weekly_data!$C:$I,$E70,MOD(ROW()-2,7)+1)</f>
        <v>12545</v>
      </c>
      <c r="D70" s="57" t="str">
        <f t="shared" si="2"/>
        <v>Mar 2025</v>
      </c>
      <c r="E70" s="39">
        <f t="shared" si="4"/>
        <v>11</v>
      </c>
    </row>
    <row r="71" spans="1:5" ht="25" customHeight="1" x14ac:dyDescent="0.15">
      <c r="A71" s="57" cm="1">
        <f t="array" ref="A71">INDEX(clean_weekly_data!$A:$A,$E71)+MOD(ROW()-2,7)</f>
        <v>45725</v>
      </c>
      <c r="B71" s="39" t="str">
        <f t="shared" si="3"/>
        <v>Sunday</v>
      </c>
      <c r="C71" s="58" cm="1">
        <f t="array" ref="C71">INDEX(clean_weekly_data!$C:$I,$E71,MOD(ROW()-2,7)+1)</f>
        <v>5549</v>
      </c>
      <c r="D71" s="57" t="str">
        <f t="shared" si="2"/>
        <v>Mar 2025</v>
      </c>
      <c r="E71" s="39">
        <f t="shared" si="4"/>
        <v>11</v>
      </c>
    </row>
    <row r="72" spans="1:5" ht="25" customHeight="1" x14ac:dyDescent="0.15">
      <c r="A72" s="57" cm="1">
        <f t="array" ref="A72">INDEX(clean_weekly_data!$A:$A,$E72)+MOD(ROW()-2,7)</f>
        <v>45726</v>
      </c>
      <c r="B72" s="39" t="str">
        <f t="shared" si="3"/>
        <v>Monday</v>
      </c>
      <c r="C72" s="58" cm="1">
        <f t="array" ref="C72">INDEX(clean_weekly_data!$C:$I,$E72,MOD(ROW()-2,7)+1)</f>
        <v>4895</v>
      </c>
      <c r="D72" s="57" t="str">
        <f t="shared" si="2"/>
        <v>Mar 2025</v>
      </c>
      <c r="E72" s="39">
        <f t="shared" si="4"/>
        <v>12</v>
      </c>
    </row>
    <row r="73" spans="1:5" ht="25" customHeight="1" x14ac:dyDescent="0.15">
      <c r="A73" s="57" cm="1">
        <f t="array" ref="A73">INDEX(clean_weekly_data!$A:$A,$E73)+MOD(ROW()-2,7)</f>
        <v>45727</v>
      </c>
      <c r="B73" s="39" t="str">
        <f t="shared" si="3"/>
        <v>Tuesday</v>
      </c>
      <c r="C73" s="58" cm="1">
        <f t="array" ref="C73">INDEX(clean_weekly_data!$C:$I,$E73,MOD(ROW()-2,7)+1)</f>
        <v>0</v>
      </c>
      <c r="D73" s="57" t="str">
        <f t="shared" si="2"/>
        <v>Mar 2025</v>
      </c>
      <c r="E73" s="39">
        <f t="shared" si="4"/>
        <v>12</v>
      </c>
    </row>
    <row r="74" spans="1:5" ht="25" customHeight="1" x14ac:dyDescent="0.15">
      <c r="A74" s="57" cm="1">
        <f t="array" ref="A74">INDEX(clean_weekly_data!$A:$A,$E74)+MOD(ROW()-2,7)</f>
        <v>45728</v>
      </c>
      <c r="B74" s="39" t="str">
        <f t="shared" si="3"/>
        <v>Wednesday</v>
      </c>
      <c r="C74" s="58" cm="1">
        <f t="array" ref="C74">INDEX(clean_weekly_data!$C:$I,$E74,MOD(ROW()-2,7)+1)</f>
        <v>4403</v>
      </c>
      <c r="D74" s="57" t="str">
        <f t="shared" si="2"/>
        <v>Mar 2025</v>
      </c>
      <c r="E74" s="39">
        <f t="shared" si="4"/>
        <v>12</v>
      </c>
    </row>
    <row r="75" spans="1:5" ht="25" customHeight="1" x14ac:dyDescent="0.15">
      <c r="A75" s="57" cm="1">
        <f t="array" ref="A75">INDEX(clean_weekly_data!$A:$A,$E75)+MOD(ROW()-2,7)</f>
        <v>45729</v>
      </c>
      <c r="B75" s="39" t="str">
        <f t="shared" si="3"/>
        <v>Thursday</v>
      </c>
      <c r="C75" s="58" cm="1">
        <f t="array" ref="C75">INDEX(clean_weekly_data!$C:$I,$E75,MOD(ROW()-2,7)+1)</f>
        <v>2945</v>
      </c>
      <c r="D75" s="57" t="str">
        <f t="shared" si="2"/>
        <v>Mar 2025</v>
      </c>
      <c r="E75" s="39">
        <f t="shared" si="4"/>
        <v>12</v>
      </c>
    </row>
    <row r="76" spans="1:5" ht="25" customHeight="1" x14ac:dyDescent="0.15">
      <c r="A76" s="57" cm="1">
        <f t="array" ref="A76">INDEX(clean_weekly_data!$A:$A,$E76)+MOD(ROW()-2,7)</f>
        <v>45730</v>
      </c>
      <c r="B76" s="39" t="str">
        <f t="shared" si="3"/>
        <v>Friday</v>
      </c>
      <c r="C76" s="58" cm="1">
        <f t="array" ref="C76">INDEX(clean_weekly_data!$C:$I,$E76,MOD(ROW()-2,7)+1)</f>
        <v>10542</v>
      </c>
      <c r="D76" s="57" t="str">
        <f t="shared" si="2"/>
        <v>Mar 2025</v>
      </c>
      <c r="E76" s="39">
        <f t="shared" si="4"/>
        <v>12</v>
      </c>
    </row>
    <row r="77" spans="1:5" ht="25" customHeight="1" x14ac:dyDescent="0.15">
      <c r="A77" s="57" cm="1">
        <f t="array" ref="A77">INDEX(clean_weekly_data!$A:$A,$E77)+MOD(ROW()-2,7)</f>
        <v>45731</v>
      </c>
      <c r="B77" s="39" t="str">
        <f t="shared" si="3"/>
        <v>Saturday</v>
      </c>
      <c r="C77" s="58" cm="1">
        <f t="array" ref="C77">INDEX(clean_weekly_data!$C:$I,$E77,MOD(ROW()-2,7)+1)</f>
        <v>11247</v>
      </c>
      <c r="D77" s="57" t="str">
        <f t="shared" si="2"/>
        <v>Mar 2025</v>
      </c>
      <c r="E77" s="39">
        <f t="shared" si="4"/>
        <v>12</v>
      </c>
    </row>
    <row r="78" spans="1:5" ht="25" customHeight="1" x14ac:dyDescent="0.15">
      <c r="A78" s="57" cm="1">
        <f t="array" ref="A78">INDEX(clean_weekly_data!$A:$A,$E78)+MOD(ROW()-2,7)</f>
        <v>45732</v>
      </c>
      <c r="B78" s="39" t="str">
        <f t="shared" si="3"/>
        <v>Sunday</v>
      </c>
      <c r="C78" s="58" cm="1">
        <f t="array" ref="C78">INDEX(clean_weekly_data!$C:$I,$E78,MOD(ROW()-2,7)+1)</f>
        <v>3112</v>
      </c>
      <c r="D78" s="57" t="str">
        <f t="shared" si="2"/>
        <v>Mar 2025</v>
      </c>
      <c r="E78" s="39">
        <f t="shared" si="4"/>
        <v>12</v>
      </c>
    </row>
    <row r="79" spans="1:5" ht="25" customHeight="1" x14ac:dyDescent="0.15">
      <c r="A79" s="57" cm="1">
        <f t="array" ref="A79">INDEX(clean_weekly_data!$A:$A,$E79)+MOD(ROW()-2,7)</f>
        <v>45733</v>
      </c>
      <c r="B79" s="39" t="str">
        <f t="shared" si="3"/>
        <v>Monday</v>
      </c>
      <c r="C79" s="58" cm="1">
        <f t="array" ref="C79">INDEX(clean_weekly_data!$C:$I,$E79,MOD(ROW()-2,7)+1)</f>
        <v>3681</v>
      </c>
      <c r="D79" s="57" t="str">
        <f t="shared" si="2"/>
        <v>Mar 2025</v>
      </c>
      <c r="E79" s="39">
        <f t="shared" si="4"/>
        <v>13</v>
      </c>
    </row>
    <row r="80" spans="1:5" ht="25" customHeight="1" x14ac:dyDescent="0.15">
      <c r="A80" s="57" cm="1">
        <f t="array" ref="A80">INDEX(clean_weekly_data!$A:$A,$E80)+MOD(ROW()-2,7)</f>
        <v>45734</v>
      </c>
      <c r="B80" s="39" t="str">
        <f t="shared" si="3"/>
        <v>Tuesday</v>
      </c>
      <c r="C80" s="58" cm="1">
        <f t="array" ref="C80">INDEX(clean_weekly_data!$C:$I,$E80,MOD(ROW()-2,7)+1)</f>
        <v>0</v>
      </c>
      <c r="D80" s="57" t="str">
        <f t="shared" si="2"/>
        <v>Mar 2025</v>
      </c>
      <c r="E80" s="39">
        <f t="shared" si="4"/>
        <v>13</v>
      </c>
    </row>
    <row r="81" spans="1:5" ht="25" customHeight="1" x14ac:dyDescent="0.15">
      <c r="A81" s="57" cm="1">
        <f t="array" ref="A81">INDEX(clean_weekly_data!$A:$A,$E81)+MOD(ROW()-2,7)</f>
        <v>45735</v>
      </c>
      <c r="B81" s="39" t="str">
        <f t="shared" si="3"/>
        <v>Wednesday</v>
      </c>
      <c r="C81" s="58" cm="1">
        <f t="array" ref="C81">INDEX(clean_weekly_data!$C:$I,$E81,MOD(ROW()-2,7)+1)</f>
        <v>4574</v>
      </c>
      <c r="D81" s="57" t="str">
        <f t="shared" si="2"/>
        <v>Mar 2025</v>
      </c>
      <c r="E81" s="39">
        <f t="shared" si="4"/>
        <v>13</v>
      </c>
    </row>
    <row r="82" spans="1:5" ht="25" customHeight="1" x14ac:dyDescent="0.15">
      <c r="A82" s="57" cm="1">
        <f t="array" ref="A82">INDEX(clean_weekly_data!$A:$A,$E82)+MOD(ROW()-2,7)</f>
        <v>45736</v>
      </c>
      <c r="B82" s="39" t="str">
        <f t="shared" si="3"/>
        <v>Thursday</v>
      </c>
      <c r="C82" s="58" cm="1">
        <f t="array" ref="C82">INDEX(clean_weekly_data!$C:$I,$E82,MOD(ROW()-2,7)+1)</f>
        <v>4023</v>
      </c>
      <c r="D82" s="57" t="str">
        <f t="shared" si="2"/>
        <v>Mar 2025</v>
      </c>
      <c r="E82" s="39">
        <f t="shared" si="4"/>
        <v>13</v>
      </c>
    </row>
    <row r="83" spans="1:5" ht="25" customHeight="1" x14ac:dyDescent="0.15">
      <c r="A83" s="57" cm="1">
        <f t="array" ref="A83">INDEX(clean_weekly_data!$A:$A,$E83)+MOD(ROW()-2,7)</f>
        <v>45737</v>
      </c>
      <c r="B83" s="39" t="str">
        <f t="shared" si="3"/>
        <v>Friday</v>
      </c>
      <c r="C83" s="58" cm="1">
        <f t="array" ref="C83">INDEX(clean_weekly_data!$C:$I,$E83,MOD(ROW()-2,7)+1)</f>
        <v>11199</v>
      </c>
      <c r="D83" s="57" t="str">
        <f t="shared" si="2"/>
        <v>Mar 2025</v>
      </c>
      <c r="E83" s="39">
        <f t="shared" si="4"/>
        <v>13</v>
      </c>
    </row>
    <row r="84" spans="1:5" ht="25" customHeight="1" x14ac:dyDescent="0.15">
      <c r="A84" s="57" cm="1">
        <f t="array" ref="A84">INDEX(clean_weekly_data!$A:$A,$E84)+MOD(ROW()-2,7)</f>
        <v>45738</v>
      </c>
      <c r="B84" s="39" t="str">
        <f t="shared" si="3"/>
        <v>Saturday</v>
      </c>
      <c r="C84" s="58" cm="1">
        <f t="array" ref="C84">INDEX(clean_weekly_data!$C:$I,$E84,MOD(ROW()-2,7)+1)</f>
        <v>14365</v>
      </c>
      <c r="D84" s="57" t="str">
        <f t="shared" si="2"/>
        <v>Mar 2025</v>
      </c>
      <c r="E84" s="39">
        <f t="shared" si="4"/>
        <v>13</v>
      </c>
    </row>
    <row r="85" spans="1:5" ht="25" customHeight="1" x14ac:dyDescent="0.15">
      <c r="A85" s="57" cm="1">
        <f t="array" ref="A85">INDEX(clean_weekly_data!$A:$A,$E85)+MOD(ROW()-2,7)</f>
        <v>45739</v>
      </c>
      <c r="B85" s="39" t="str">
        <f t="shared" si="3"/>
        <v>Sunday</v>
      </c>
      <c r="C85" s="58" cm="1">
        <f t="array" ref="C85">INDEX(clean_weekly_data!$C:$I,$E85,MOD(ROW()-2,7)+1)</f>
        <v>5519</v>
      </c>
      <c r="D85" s="57" t="str">
        <f t="shared" si="2"/>
        <v>Mar 2025</v>
      </c>
      <c r="E85" s="39">
        <f t="shared" si="4"/>
        <v>13</v>
      </c>
    </row>
    <row r="86" spans="1:5" ht="25" customHeight="1" x14ac:dyDescent="0.15">
      <c r="A86" s="57" cm="1">
        <f t="array" ref="A86">INDEX(clean_weekly_data!$A:$A,$E86)+MOD(ROW()-2,7)</f>
        <v>45740</v>
      </c>
      <c r="B86" s="39" t="str">
        <f t="shared" si="3"/>
        <v>Monday</v>
      </c>
      <c r="C86" s="58" cm="1">
        <f t="array" ref="C86">INDEX(clean_weekly_data!$C:$I,$E86,MOD(ROW()-2,7)+1)</f>
        <v>2821</v>
      </c>
      <c r="D86" s="57" t="str">
        <f t="shared" si="2"/>
        <v>Mar 2025</v>
      </c>
      <c r="E86" s="39">
        <f t="shared" si="4"/>
        <v>14</v>
      </c>
    </row>
    <row r="87" spans="1:5" ht="25" customHeight="1" x14ac:dyDescent="0.15">
      <c r="A87" s="57" cm="1">
        <f t="array" ref="A87">INDEX(clean_weekly_data!$A:$A,$E87)+MOD(ROW()-2,7)</f>
        <v>45741</v>
      </c>
      <c r="B87" s="39" t="str">
        <f t="shared" si="3"/>
        <v>Tuesday</v>
      </c>
      <c r="C87" s="58" cm="1">
        <f t="array" ref="C87">INDEX(clean_weekly_data!$C:$I,$E87,MOD(ROW()-2,7)+1)</f>
        <v>0</v>
      </c>
      <c r="D87" s="57" t="str">
        <f t="shared" si="2"/>
        <v>Mar 2025</v>
      </c>
      <c r="E87" s="39">
        <f t="shared" si="4"/>
        <v>14</v>
      </c>
    </row>
    <row r="88" spans="1:5" ht="25" customHeight="1" x14ac:dyDescent="0.15">
      <c r="A88" s="57" cm="1">
        <f t="array" ref="A88">INDEX(clean_weekly_data!$A:$A,$E88)+MOD(ROW()-2,7)</f>
        <v>45742</v>
      </c>
      <c r="B88" s="39" t="str">
        <f t="shared" si="3"/>
        <v>Wednesday</v>
      </c>
      <c r="C88" s="58" cm="1">
        <f t="array" ref="C88">INDEX(clean_weekly_data!$C:$I,$E88,MOD(ROW()-2,7)+1)</f>
        <v>4872</v>
      </c>
      <c r="D88" s="57" t="str">
        <f t="shared" si="2"/>
        <v>Mar 2025</v>
      </c>
      <c r="E88" s="39">
        <f t="shared" si="4"/>
        <v>14</v>
      </c>
    </row>
    <row r="89" spans="1:5" ht="25" customHeight="1" x14ac:dyDescent="0.15">
      <c r="A89" s="57" cm="1">
        <f t="array" ref="A89">INDEX(clean_weekly_data!$A:$A,$E89)+MOD(ROW()-2,7)</f>
        <v>45743</v>
      </c>
      <c r="B89" s="39" t="str">
        <f t="shared" si="3"/>
        <v>Thursday</v>
      </c>
      <c r="C89" s="58" cm="1">
        <f t="array" ref="C89">INDEX(clean_weekly_data!$C:$I,$E89,MOD(ROW()-2,7)+1)</f>
        <v>3809</v>
      </c>
      <c r="D89" s="57" t="str">
        <f t="shared" si="2"/>
        <v>Mar 2025</v>
      </c>
      <c r="E89" s="39">
        <f t="shared" si="4"/>
        <v>14</v>
      </c>
    </row>
    <row r="90" spans="1:5" ht="25" customHeight="1" x14ac:dyDescent="0.15">
      <c r="A90" s="57" cm="1">
        <f t="array" ref="A90">INDEX(clean_weekly_data!$A:$A,$E90)+MOD(ROW()-2,7)</f>
        <v>45744</v>
      </c>
      <c r="B90" s="39" t="str">
        <f t="shared" si="3"/>
        <v>Friday</v>
      </c>
      <c r="C90" s="58" cm="1">
        <f t="array" ref="C90">INDEX(clean_weekly_data!$C:$I,$E90,MOD(ROW()-2,7)+1)</f>
        <v>11848</v>
      </c>
      <c r="D90" s="57" t="str">
        <f t="shared" si="2"/>
        <v>Mar 2025</v>
      </c>
      <c r="E90" s="39">
        <f t="shared" si="4"/>
        <v>14</v>
      </c>
    </row>
    <row r="91" spans="1:5" ht="25" customHeight="1" x14ac:dyDescent="0.15">
      <c r="A91" s="57" cm="1">
        <f t="array" ref="A91">INDEX(clean_weekly_data!$A:$A,$E91)+MOD(ROW()-2,7)</f>
        <v>45745</v>
      </c>
      <c r="B91" s="39" t="str">
        <f t="shared" si="3"/>
        <v>Saturday</v>
      </c>
      <c r="C91" s="58" cm="1">
        <f t="array" ref="C91">INDEX(clean_weekly_data!$C:$I,$E91,MOD(ROW()-2,7)+1)</f>
        <v>12858</v>
      </c>
      <c r="D91" s="57" t="str">
        <f t="shared" si="2"/>
        <v>Mar 2025</v>
      </c>
      <c r="E91" s="39">
        <f t="shared" si="4"/>
        <v>14</v>
      </c>
    </row>
    <row r="92" spans="1:5" ht="25" customHeight="1" x14ac:dyDescent="0.15">
      <c r="A92" s="57" cm="1">
        <f t="array" ref="A92">INDEX(clean_weekly_data!$A:$A,$E92)+MOD(ROW()-2,7)</f>
        <v>45746</v>
      </c>
      <c r="B92" s="39" t="str">
        <f t="shared" si="3"/>
        <v>Sunday</v>
      </c>
      <c r="C92" s="58" cm="1">
        <f t="array" ref="C92">INDEX(clean_weekly_data!$C:$I,$E92,MOD(ROW()-2,7)+1)</f>
        <v>7089</v>
      </c>
      <c r="D92" s="57" t="str">
        <f t="shared" si="2"/>
        <v>Mar 2025</v>
      </c>
      <c r="E92" s="39">
        <f t="shared" si="4"/>
        <v>14</v>
      </c>
    </row>
    <row r="93" spans="1:5" ht="25" customHeight="1" x14ac:dyDescent="0.15">
      <c r="A93" s="57" cm="1">
        <f t="array" ref="A93">INDEX(clean_weekly_data!$A:$A,$E93)+MOD(ROW()-2,7)</f>
        <v>45747</v>
      </c>
      <c r="B93" s="39" t="str">
        <f t="shared" si="3"/>
        <v>Monday</v>
      </c>
      <c r="C93" s="58" cm="1">
        <f t="array" ref="C93">INDEX(clean_weekly_data!$C:$I,$E93,MOD(ROW()-2,7)+1)</f>
        <v>3355</v>
      </c>
      <c r="D93" s="57" t="str">
        <f t="shared" si="2"/>
        <v>Mar 2025</v>
      </c>
      <c r="E93" s="39">
        <f t="shared" si="4"/>
        <v>15</v>
      </c>
    </row>
    <row r="94" spans="1:5" ht="25" customHeight="1" x14ac:dyDescent="0.15">
      <c r="A94" s="57" cm="1">
        <f t="array" ref="A94">INDEX(clean_weekly_data!$A:$A,$E94)+MOD(ROW()-2,7)</f>
        <v>45748</v>
      </c>
      <c r="B94" s="39" t="str">
        <f t="shared" si="3"/>
        <v>Tuesday</v>
      </c>
      <c r="C94" s="58" cm="1">
        <f t="array" ref="C94">INDEX(clean_weekly_data!$C:$I,$E94,MOD(ROW()-2,7)+1)</f>
        <v>0</v>
      </c>
      <c r="D94" s="57" t="str">
        <f t="shared" si="2"/>
        <v>Apr 2025</v>
      </c>
      <c r="E94" s="39">
        <f t="shared" si="4"/>
        <v>15</v>
      </c>
    </row>
    <row r="95" spans="1:5" ht="25" customHeight="1" x14ac:dyDescent="0.15">
      <c r="A95" s="57" cm="1">
        <f t="array" ref="A95">INDEX(clean_weekly_data!$A:$A,$E95)+MOD(ROW()-2,7)</f>
        <v>45749</v>
      </c>
      <c r="B95" s="39" t="str">
        <f t="shared" si="3"/>
        <v>Wednesday</v>
      </c>
      <c r="C95" s="58" cm="1">
        <f t="array" ref="C95">INDEX(clean_weekly_data!$C:$I,$E95,MOD(ROW()-2,7)+1)</f>
        <v>3614</v>
      </c>
      <c r="D95" s="57" t="str">
        <f t="shared" si="2"/>
        <v>Apr 2025</v>
      </c>
      <c r="E95" s="39">
        <f t="shared" si="4"/>
        <v>15</v>
      </c>
    </row>
    <row r="96" spans="1:5" ht="25" customHeight="1" x14ac:dyDescent="0.15">
      <c r="A96" s="57" cm="1">
        <f t="array" ref="A96">INDEX(clean_weekly_data!$A:$A,$E96)+MOD(ROW()-2,7)</f>
        <v>45750</v>
      </c>
      <c r="B96" s="39" t="str">
        <f t="shared" si="3"/>
        <v>Thursday</v>
      </c>
      <c r="C96" s="58" cm="1">
        <f t="array" ref="C96">INDEX(clean_weekly_data!$C:$I,$E96,MOD(ROW()-2,7)+1)</f>
        <v>4382</v>
      </c>
      <c r="D96" s="57" t="str">
        <f t="shared" si="2"/>
        <v>Apr 2025</v>
      </c>
      <c r="E96" s="39">
        <f t="shared" si="4"/>
        <v>15</v>
      </c>
    </row>
    <row r="97" spans="1:5" ht="25" customHeight="1" x14ac:dyDescent="0.15">
      <c r="A97" s="57" cm="1">
        <f t="array" ref="A97">INDEX(clean_weekly_data!$A:$A,$E97)+MOD(ROW()-2,7)</f>
        <v>45751</v>
      </c>
      <c r="B97" s="39" t="str">
        <f t="shared" si="3"/>
        <v>Friday</v>
      </c>
      <c r="C97" s="58" cm="1">
        <f t="array" ref="C97">INDEX(clean_weekly_data!$C:$I,$E97,MOD(ROW()-2,7)+1)</f>
        <v>10897</v>
      </c>
      <c r="D97" s="57" t="str">
        <f t="shared" si="2"/>
        <v>Apr 2025</v>
      </c>
      <c r="E97" s="39">
        <f t="shared" si="4"/>
        <v>15</v>
      </c>
    </row>
    <row r="98" spans="1:5" ht="25" customHeight="1" x14ac:dyDescent="0.15">
      <c r="A98" s="57" cm="1">
        <f t="array" ref="A98">INDEX(clean_weekly_data!$A:$A,$E98)+MOD(ROW()-2,7)</f>
        <v>45752</v>
      </c>
      <c r="B98" s="39" t="str">
        <f t="shared" si="3"/>
        <v>Saturday</v>
      </c>
      <c r="C98" s="58" cm="1">
        <f t="array" ref="C98">INDEX(clean_weekly_data!$C:$I,$E98,MOD(ROW()-2,7)+1)</f>
        <v>11210</v>
      </c>
      <c r="D98" s="57" t="str">
        <f t="shared" si="2"/>
        <v>Apr 2025</v>
      </c>
      <c r="E98" s="39">
        <f t="shared" si="4"/>
        <v>15</v>
      </c>
    </row>
    <row r="99" spans="1:5" ht="25" customHeight="1" x14ac:dyDescent="0.15">
      <c r="A99" s="57" cm="1">
        <f t="array" ref="A99">INDEX(clean_weekly_data!$A:$A,$E99)+MOD(ROW()-2,7)</f>
        <v>45753</v>
      </c>
      <c r="B99" s="39" t="str">
        <f t="shared" si="3"/>
        <v>Sunday</v>
      </c>
      <c r="C99" s="58" cm="1">
        <f t="array" ref="C99">INDEX(clean_weekly_data!$C:$I,$E99,MOD(ROW()-2,7)+1)</f>
        <v>6114.5</v>
      </c>
      <c r="D99" s="57" t="str">
        <f t="shared" si="2"/>
        <v>Apr 2025</v>
      </c>
      <c r="E99" s="39">
        <f t="shared" si="4"/>
        <v>15</v>
      </c>
    </row>
    <row r="100" spans="1:5" ht="25" customHeight="1" x14ac:dyDescent="0.15">
      <c r="A100" s="57" cm="1">
        <f t="array" ref="A100">INDEX(clean_weekly_data!$A:$A,$E100)+MOD(ROW()-2,7)</f>
        <v>45754</v>
      </c>
      <c r="B100" s="39" t="str">
        <f t="shared" si="3"/>
        <v>Monday</v>
      </c>
      <c r="C100" s="58" cm="1">
        <f t="array" ref="C100">INDEX(clean_weekly_data!$C:$I,$E100,MOD(ROW()-2,7)+1)</f>
        <v>2556</v>
      </c>
      <c r="D100" s="57" t="str">
        <f t="shared" si="2"/>
        <v>Apr 2025</v>
      </c>
      <c r="E100" s="39">
        <f t="shared" si="4"/>
        <v>16</v>
      </c>
    </row>
    <row r="101" spans="1:5" ht="25" customHeight="1" x14ac:dyDescent="0.15">
      <c r="A101" s="57" cm="1">
        <f t="array" ref="A101">INDEX(clean_weekly_data!$A:$A,$E101)+MOD(ROW()-2,7)</f>
        <v>45755</v>
      </c>
      <c r="B101" s="39" t="str">
        <f t="shared" si="3"/>
        <v>Tuesday</v>
      </c>
      <c r="C101" s="58" cm="1">
        <f t="array" ref="C101">INDEX(clean_weekly_data!$C:$I,$E101,MOD(ROW()-2,7)+1)</f>
        <v>0</v>
      </c>
      <c r="D101" s="57" t="str">
        <f t="shared" ref="D101:D164" si="5">TEXT(A101,"mmm yyyy")</f>
        <v>Apr 2025</v>
      </c>
      <c r="E101" s="39">
        <f t="shared" si="4"/>
        <v>16</v>
      </c>
    </row>
    <row r="102" spans="1:5" ht="25" customHeight="1" x14ac:dyDescent="0.15">
      <c r="A102" s="57" cm="1">
        <f t="array" ref="A102">INDEX(clean_weekly_data!$A:$A,$E102)+MOD(ROW()-2,7)</f>
        <v>45756</v>
      </c>
      <c r="B102" s="39" t="str">
        <f t="shared" si="3"/>
        <v>Wednesday</v>
      </c>
      <c r="C102" s="58" cm="1">
        <f t="array" ref="C102">INDEX(clean_weekly_data!$C:$I,$E102,MOD(ROW()-2,7)+1)</f>
        <v>2715</v>
      </c>
      <c r="D102" s="57" t="str">
        <f t="shared" si="5"/>
        <v>Apr 2025</v>
      </c>
      <c r="E102" s="39">
        <f t="shared" si="4"/>
        <v>16</v>
      </c>
    </row>
    <row r="103" spans="1:5" ht="25" customHeight="1" x14ac:dyDescent="0.15">
      <c r="A103" s="57" cm="1">
        <f t="array" ref="A103">INDEX(clean_weekly_data!$A:$A,$E103)+MOD(ROW()-2,7)</f>
        <v>45757</v>
      </c>
      <c r="B103" s="39" t="str">
        <f t="shared" si="3"/>
        <v>Thursday</v>
      </c>
      <c r="C103" s="58" cm="1">
        <f t="array" ref="C103">INDEX(clean_weekly_data!$C:$I,$E103,MOD(ROW()-2,7)+1)</f>
        <v>5123</v>
      </c>
      <c r="D103" s="57" t="str">
        <f t="shared" si="5"/>
        <v>Apr 2025</v>
      </c>
      <c r="E103" s="39">
        <f t="shared" si="4"/>
        <v>16</v>
      </c>
    </row>
    <row r="104" spans="1:5" ht="25" customHeight="1" x14ac:dyDescent="0.15">
      <c r="A104" s="57" cm="1">
        <f t="array" ref="A104">INDEX(clean_weekly_data!$A:$A,$E104)+MOD(ROW()-2,7)</f>
        <v>45758</v>
      </c>
      <c r="B104" s="39" t="str">
        <f t="shared" si="3"/>
        <v>Friday</v>
      </c>
      <c r="C104" s="58" cm="1">
        <f t="array" ref="C104">INDEX(clean_weekly_data!$C:$I,$E104,MOD(ROW()-2,7)+1)</f>
        <v>9878</v>
      </c>
      <c r="D104" s="57" t="str">
        <f t="shared" si="5"/>
        <v>Apr 2025</v>
      </c>
      <c r="E104" s="39">
        <f t="shared" si="4"/>
        <v>16</v>
      </c>
    </row>
    <row r="105" spans="1:5" ht="25" customHeight="1" x14ac:dyDescent="0.15">
      <c r="A105" s="57" cm="1">
        <f t="array" ref="A105">INDEX(clean_weekly_data!$A:$A,$E105)+MOD(ROW()-2,7)</f>
        <v>45759</v>
      </c>
      <c r="B105" s="39" t="str">
        <f t="shared" si="3"/>
        <v>Saturday</v>
      </c>
      <c r="C105" s="58" cm="1">
        <f t="array" ref="C105">INDEX(clean_weekly_data!$C:$I,$E105,MOD(ROW()-2,7)+1)</f>
        <v>12989</v>
      </c>
      <c r="D105" s="57" t="str">
        <f t="shared" si="5"/>
        <v>Apr 2025</v>
      </c>
      <c r="E105" s="39">
        <f t="shared" si="4"/>
        <v>16</v>
      </c>
    </row>
    <row r="106" spans="1:5" ht="25" customHeight="1" x14ac:dyDescent="0.15">
      <c r="A106" s="57" cm="1">
        <f t="array" ref="A106">INDEX(clean_weekly_data!$A:$A,$E106)+MOD(ROW()-2,7)</f>
        <v>45760</v>
      </c>
      <c r="B106" s="39" t="str">
        <f t="shared" si="3"/>
        <v>Sunday</v>
      </c>
      <c r="C106" s="58" cm="1">
        <f t="array" ref="C106">INDEX(clean_weekly_data!$C:$I,$E106,MOD(ROW()-2,7)+1)</f>
        <v>4164</v>
      </c>
      <c r="D106" s="57" t="str">
        <f t="shared" si="5"/>
        <v>Apr 2025</v>
      </c>
      <c r="E106" s="39">
        <f t="shared" si="4"/>
        <v>16</v>
      </c>
    </row>
    <row r="107" spans="1:5" ht="25" customHeight="1" x14ac:dyDescent="0.15">
      <c r="A107" s="57" cm="1">
        <f t="array" ref="A107">INDEX(clean_weekly_data!$A:$A,$E107)+MOD(ROW()-2,7)</f>
        <v>45761</v>
      </c>
      <c r="B107" s="39" t="str">
        <f t="shared" si="3"/>
        <v>Monday</v>
      </c>
      <c r="C107" s="58" cm="1">
        <f t="array" ref="C107">INDEX(clean_weekly_data!$C:$I,$E107,MOD(ROW()-2,7)+1)</f>
        <v>3225</v>
      </c>
      <c r="D107" s="57" t="str">
        <f t="shared" si="5"/>
        <v>Apr 2025</v>
      </c>
      <c r="E107" s="39">
        <f t="shared" si="4"/>
        <v>17</v>
      </c>
    </row>
    <row r="108" spans="1:5" ht="25" customHeight="1" x14ac:dyDescent="0.15">
      <c r="A108" s="57" cm="1">
        <f t="array" ref="A108">INDEX(clean_weekly_data!$A:$A,$E108)+MOD(ROW()-2,7)</f>
        <v>45762</v>
      </c>
      <c r="B108" s="39" t="str">
        <f t="shared" si="3"/>
        <v>Tuesday</v>
      </c>
      <c r="C108" s="58" cm="1">
        <f t="array" ref="C108">INDEX(clean_weekly_data!$C:$I,$E108,MOD(ROW()-2,7)+1)</f>
        <v>0</v>
      </c>
      <c r="D108" s="57" t="str">
        <f t="shared" si="5"/>
        <v>Apr 2025</v>
      </c>
      <c r="E108" s="39">
        <f t="shared" si="4"/>
        <v>17</v>
      </c>
    </row>
    <row r="109" spans="1:5" ht="25" customHeight="1" x14ac:dyDescent="0.15">
      <c r="A109" s="57" cm="1">
        <f t="array" ref="A109">INDEX(clean_weekly_data!$A:$A,$E109)+MOD(ROW()-2,7)</f>
        <v>45763</v>
      </c>
      <c r="B109" s="39" t="str">
        <f t="shared" si="3"/>
        <v>Wednesday</v>
      </c>
      <c r="C109" s="58" cm="1">
        <f t="array" ref="C109">INDEX(clean_weekly_data!$C:$I,$E109,MOD(ROW()-2,7)+1)</f>
        <v>3603</v>
      </c>
      <c r="D109" s="57" t="str">
        <f t="shared" si="5"/>
        <v>Apr 2025</v>
      </c>
      <c r="E109" s="39">
        <f t="shared" si="4"/>
        <v>17</v>
      </c>
    </row>
    <row r="110" spans="1:5" ht="25" customHeight="1" x14ac:dyDescent="0.15">
      <c r="A110" s="57" cm="1">
        <f t="array" ref="A110">INDEX(clean_weekly_data!$A:$A,$E110)+MOD(ROW()-2,7)</f>
        <v>45764</v>
      </c>
      <c r="B110" s="39" t="str">
        <f t="shared" si="3"/>
        <v>Thursday</v>
      </c>
      <c r="C110" s="58" cm="1">
        <f t="array" ref="C110">INDEX(clean_weekly_data!$C:$I,$E110,MOD(ROW()-2,7)+1)</f>
        <v>4944</v>
      </c>
      <c r="D110" s="57" t="str">
        <f t="shared" si="5"/>
        <v>Apr 2025</v>
      </c>
      <c r="E110" s="39">
        <f t="shared" si="4"/>
        <v>17</v>
      </c>
    </row>
    <row r="111" spans="1:5" ht="25" customHeight="1" x14ac:dyDescent="0.15">
      <c r="A111" s="57" cm="1">
        <f t="array" ref="A111">INDEX(clean_weekly_data!$A:$A,$E111)+MOD(ROW()-2,7)</f>
        <v>45765</v>
      </c>
      <c r="B111" s="39" t="str">
        <f t="shared" si="3"/>
        <v>Friday</v>
      </c>
      <c r="C111" s="58" cm="1">
        <f t="array" ref="C111">INDEX(clean_weekly_data!$C:$I,$E111,MOD(ROW()-2,7)+1)</f>
        <v>11764</v>
      </c>
      <c r="D111" s="57" t="str">
        <f t="shared" si="5"/>
        <v>Apr 2025</v>
      </c>
      <c r="E111" s="39">
        <f t="shared" si="4"/>
        <v>17</v>
      </c>
    </row>
    <row r="112" spans="1:5" ht="25" customHeight="1" x14ac:dyDescent="0.15">
      <c r="A112" s="57" cm="1">
        <f t="array" ref="A112">INDEX(clean_weekly_data!$A:$A,$E112)+MOD(ROW()-2,7)</f>
        <v>45766</v>
      </c>
      <c r="B112" s="39" t="str">
        <f t="shared" si="3"/>
        <v>Saturday</v>
      </c>
      <c r="C112" s="58" cm="1">
        <f t="array" ref="C112">INDEX(clean_weekly_data!$C:$I,$E112,MOD(ROW()-2,7)+1)</f>
        <v>11381</v>
      </c>
      <c r="D112" s="57" t="str">
        <f t="shared" si="5"/>
        <v>Apr 2025</v>
      </c>
      <c r="E112" s="39">
        <f t="shared" si="4"/>
        <v>17</v>
      </c>
    </row>
    <row r="113" spans="1:5" ht="25" customHeight="1" x14ac:dyDescent="0.15">
      <c r="A113" s="57" cm="1">
        <f t="array" ref="A113">INDEX(clean_weekly_data!$A:$A,$E113)+MOD(ROW()-2,7)</f>
        <v>45767</v>
      </c>
      <c r="B113" s="39" t="str">
        <f t="shared" si="3"/>
        <v>Sunday</v>
      </c>
      <c r="C113" s="58" cm="1">
        <f t="array" ref="C113">INDEX(clean_weekly_data!$C:$I,$E113,MOD(ROW()-2,7)+1)</f>
        <v>2925</v>
      </c>
      <c r="D113" s="57" t="str">
        <f t="shared" si="5"/>
        <v>Apr 2025</v>
      </c>
      <c r="E113" s="39">
        <f t="shared" si="4"/>
        <v>17</v>
      </c>
    </row>
    <row r="114" spans="1:5" ht="25" customHeight="1" x14ac:dyDescent="0.15">
      <c r="A114" s="57" cm="1">
        <f t="array" ref="A114">INDEX(clean_weekly_data!$A:$A,$E114)+MOD(ROW()-2,7)</f>
        <v>45768</v>
      </c>
      <c r="B114" s="39" t="str">
        <f t="shared" si="3"/>
        <v>Monday</v>
      </c>
      <c r="C114" s="58" cm="1">
        <f t="array" ref="C114">INDEX(clean_weekly_data!$C:$I,$E114,MOD(ROW()-2,7)+1)</f>
        <v>2902</v>
      </c>
      <c r="D114" s="57" t="str">
        <f t="shared" si="5"/>
        <v>Apr 2025</v>
      </c>
      <c r="E114" s="39">
        <f t="shared" si="4"/>
        <v>18</v>
      </c>
    </row>
    <row r="115" spans="1:5" ht="25" customHeight="1" x14ac:dyDescent="0.15">
      <c r="A115" s="57" cm="1">
        <f t="array" ref="A115">INDEX(clean_weekly_data!$A:$A,$E115)+MOD(ROW()-2,7)</f>
        <v>45769</v>
      </c>
      <c r="B115" s="39" t="str">
        <f t="shared" si="3"/>
        <v>Tuesday</v>
      </c>
      <c r="C115" s="58" cm="1">
        <f t="array" ref="C115">INDEX(clean_weekly_data!$C:$I,$E115,MOD(ROW()-2,7)+1)</f>
        <v>0</v>
      </c>
      <c r="D115" s="57" t="str">
        <f t="shared" si="5"/>
        <v>Apr 2025</v>
      </c>
      <c r="E115" s="39">
        <f t="shared" si="4"/>
        <v>18</v>
      </c>
    </row>
    <row r="116" spans="1:5" ht="25" customHeight="1" x14ac:dyDescent="0.15">
      <c r="A116" s="57" cm="1">
        <f t="array" ref="A116">INDEX(clean_weekly_data!$A:$A,$E116)+MOD(ROW()-2,7)</f>
        <v>45770</v>
      </c>
      <c r="B116" s="39" t="str">
        <f t="shared" si="3"/>
        <v>Wednesday</v>
      </c>
      <c r="C116" s="58" cm="1">
        <f t="array" ref="C116">INDEX(clean_weekly_data!$C:$I,$E116,MOD(ROW()-2,7)+1)</f>
        <v>3032</v>
      </c>
      <c r="D116" s="57" t="str">
        <f t="shared" si="5"/>
        <v>Apr 2025</v>
      </c>
      <c r="E116" s="39">
        <f t="shared" si="4"/>
        <v>18</v>
      </c>
    </row>
    <row r="117" spans="1:5" ht="25" customHeight="1" x14ac:dyDescent="0.15">
      <c r="A117" s="57" cm="1">
        <f t="array" ref="A117">INDEX(clean_weekly_data!$A:$A,$E117)+MOD(ROW()-2,7)</f>
        <v>45771</v>
      </c>
      <c r="B117" s="39" t="str">
        <f t="shared" si="3"/>
        <v>Thursday</v>
      </c>
      <c r="C117" s="58" cm="1">
        <f t="array" ref="C117">INDEX(clean_weekly_data!$C:$I,$E117,MOD(ROW()-2,7)+1)</f>
        <v>4640</v>
      </c>
      <c r="D117" s="57" t="str">
        <f t="shared" si="5"/>
        <v>Apr 2025</v>
      </c>
      <c r="E117" s="39">
        <f t="shared" si="4"/>
        <v>18</v>
      </c>
    </row>
    <row r="118" spans="1:5" ht="25" customHeight="1" x14ac:dyDescent="0.15">
      <c r="A118" s="57" cm="1">
        <f t="array" ref="A118">INDEX(clean_weekly_data!$A:$A,$E118)+MOD(ROW()-2,7)</f>
        <v>45772</v>
      </c>
      <c r="B118" s="39" t="str">
        <f t="shared" si="3"/>
        <v>Friday</v>
      </c>
      <c r="C118" s="58" cm="1">
        <f t="array" ref="C118">INDEX(clean_weekly_data!$C:$I,$E118,MOD(ROW()-2,7)+1)</f>
        <v>10664</v>
      </c>
      <c r="D118" s="57" t="str">
        <f t="shared" si="5"/>
        <v>Apr 2025</v>
      </c>
      <c r="E118" s="39">
        <f t="shared" si="4"/>
        <v>18</v>
      </c>
    </row>
    <row r="119" spans="1:5" ht="25" customHeight="1" x14ac:dyDescent="0.15">
      <c r="A119" s="57" cm="1">
        <f t="array" ref="A119">INDEX(clean_weekly_data!$A:$A,$E119)+MOD(ROW()-2,7)</f>
        <v>45773</v>
      </c>
      <c r="B119" s="39" t="str">
        <f t="shared" si="3"/>
        <v>Saturday</v>
      </c>
      <c r="C119" s="58" cm="1">
        <f t="array" ref="C119">INDEX(clean_weekly_data!$C:$I,$E119,MOD(ROW()-2,7)+1)</f>
        <v>11291</v>
      </c>
      <c r="D119" s="57" t="str">
        <f t="shared" si="5"/>
        <v>Apr 2025</v>
      </c>
      <c r="E119" s="39">
        <f t="shared" si="4"/>
        <v>18</v>
      </c>
    </row>
    <row r="120" spans="1:5" ht="25" customHeight="1" x14ac:dyDescent="0.15">
      <c r="A120" s="57" cm="1">
        <f t="array" ref="A120">INDEX(clean_weekly_data!$A:$A,$E120)+MOD(ROW()-2,7)</f>
        <v>45774</v>
      </c>
      <c r="B120" s="39" t="str">
        <f t="shared" si="3"/>
        <v>Sunday</v>
      </c>
      <c r="C120" s="58" cm="1">
        <f t="array" ref="C120">INDEX(clean_weekly_data!$C:$I,$E120,MOD(ROW()-2,7)+1)</f>
        <v>2941</v>
      </c>
      <c r="D120" s="57" t="str">
        <f t="shared" si="5"/>
        <v>Apr 2025</v>
      </c>
      <c r="E120" s="39">
        <f t="shared" si="4"/>
        <v>18</v>
      </c>
    </row>
    <row r="121" spans="1:5" ht="25" customHeight="1" x14ac:dyDescent="0.15">
      <c r="A121" s="57" cm="1">
        <f t="array" ref="A121">INDEX(clean_weekly_data!$A:$A,$E121)+MOD(ROW()-2,7)</f>
        <v>45775</v>
      </c>
      <c r="B121" s="39" t="str">
        <f t="shared" si="3"/>
        <v>Monday</v>
      </c>
      <c r="C121" s="58" cm="1">
        <f t="array" ref="C121">INDEX(clean_weekly_data!$C:$I,$E121,MOD(ROW()-2,7)+1)</f>
        <v>2822</v>
      </c>
      <c r="D121" s="57" t="str">
        <f t="shared" si="5"/>
        <v>Apr 2025</v>
      </c>
      <c r="E121" s="39">
        <f t="shared" si="4"/>
        <v>19</v>
      </c>
    </row>
    <row r="122" spans="1:5" ht="25" customHeight="1" x14ac:dyDescent="0.15">
      <c r="A122" s="57" cm="1">
        <f t="array" ref="A122">INDEX(clean_weekly_data!$A:$A,$E122)+MOD(ROW()-2,7)</f>
        <v>45776</v>
      </c>
      <c r="B122" s="39" t="str">
        <f t="shared" si="3"/>
        <v>Tuesday</v>
      </c>
      <c r="C122" s="58" cm="1">
        <f t="array" ref="C122">INDEX(clean_weekly_data!$C:$I,$E122,MOD(ROW()-2,7)+1)</f>
        <v>0</v>
      </c>
      <c r="D122" s="57" t="str">
        <f t="shared" si="5"/>
        <v>Apr 2025</v>
      </c>
      <c r="E122" s="39">
        <f t="shared" si="4"/>
        <v>19</v>
      </c>
    </row>
    <row r="123" spans="1:5" ht="25" customHeight="1" x14ac:dyDescent="0.15">
      <c r="A123" s="57" cm="1">
        <f t="array" ref="A123">INDEX(clean_weekly_data!$A:$A,$E123)+MOD(ROW()-2,7)</f>
        <v>45777</v>
      </c>
      <c r="B123" s="39" t="str">
        <f t="shared" si="3"/>
        <v>Wednesday</v>
      </c>
      <c r="C123" s="58" cm="1">
        <f t="array" ref="C123">INDEX(clean_weekly_data!$C:$I,$E123,MOD(ROW()-2,7)+1)</f>
        <v>2386</v>
      </c>
      <c r="D123" s="57" t="str">
        <f t="shared" si="5"/>
        <v>Apr 2025</v>
      </c>
      <c r="E123" s="39">
        <f t="shared" si="4"/>
        <v>19</v>
      </c>
    </row>
    <row r="124" spans="1:5" ht="25" customHeight="1" x14ac:dyDescent="0.15">
      <c r="A124" s="57" cm="1">
        <f t="array" ref="A124">INDEX(clean_weekly_data!$A:$A,$E124)+MOD(ROW()-2,7)</f>
        <v>45778</v>
      </c>
      <c r="B124" s="39" t="str">
        <f t="shared" si="3"/>
        <v>Thursday</v>
      </c>
      <c r="C124" s="58" cm="1">
        <f t="array" ref="C124">INDEX(clean_weekly_data!$C:$I,$E124,MOD(ROW()-2,7)+1)</f>
        <v>6288</v>
      </c>
      <c r="D124" s="57" t="str">
        <f t="shared" si="5"/>
        <v>May 2025</v>
      </c>
      <c r="E124" s="39">
        <f t="shared" si="4"/>
        <v>19</v>
      </c>
    </row>
    <row r="125" spans="1:5" ht="25" customHeight="1" x14ac:dyDescent="0.15">
      <c r="A125" s="57" cm="1">
        <f t="array" ref="A125">INDEX(clean_weekly_data!$A:$A,$E125)+MOD(ROW()-2,7)</f>
        <v>45779</v>
      </c>
      <c r="B125" s="39" t="str">
        <f t="shared" si="3"/>
        <v>Friday</v>
      </c>
      <c r="C125" s="58" cm="1">
        <f t="array" ref="C125">INDEX(clean_weekly_data!$C:$I,$E125,MOD(ROW()-2,7)+1)</f>
        <v>11945</v>
      </c>
      <c r="D125" s="57" t="str">
        <f t="shared" si="5"/>
        <v>May 2025</v>
      </c>
      <c r="E125" s="39">
        <f t="shared" si="4"/>
        <v>19</v>
      </c>
    </row>
    <row r="126" spans="1:5" ht="25" customHeight="1" x14ac:dyDescent="0.15">
      <c r="A126" s="57" cm="1">
        <f t="array" ref="A126">INDEX(clean_weekly_data!$A:$A,$E126)+MOD(ROW()-2,7)</f>
        <v>45780</v>
      </c>
      <c r="B126" s="39" t="str">
        <f t="shared" si="3"/>
        <v>Saturday</v>
      </c>
      <c r="C126" s="58" cm="1">
        <f t="array" ref="C126">INDEX(clean_weekly_data!$C:$I,$E126,MOD(ROW()-2,7)+1)</f>
        <v>12110</v>
      </c>
      <c r="D126" s="57" t="str">
        <f t="shared" si="5"/>
        <v>May 2025</v>
      </c>
      <c r="E126" s="39">
        <f t="shared" si="4"/>
        <v>19</v>
      </c>
    </row>
    <row r="127" spans="1:5" ht="25" customHeight="1" x14ac:dyDescent="0.15">
      <c r="A127" s="57" cm="1">
        <f t="array" ref="A127">INDEX(clean_weekly_data!$A:$A,$E127)+MOD(ROW()-2,7)</f>
        <v>45781</v>
      </c>
      <c r="B127" s="39" t="str">
        <f t="shared" si="3"/>
        <v>Sunday</v>
      </c>
      <c r="C127" s="58" cm="1">
        <f t="array" ref="C127">INDEX(clean_weekly_data!$C:$I,$E127,MOD(ROW()-2,7)+1)</f>
        <v>4341</v>
      </c>
      <c r="D127" s="57" t="str">
        <f t="shared" si="5"/>
        <v>May 2025</v>
      </c>
      <c r="E127" s="39">
        <f t="shared" si="4"/>
        <v>19</v>
      </c>
    </row>
    <row r="128" spans="1:5" ht="25" customHeight="1" x14ac:dyDescent="0.15">
      <c r="A128" s="57" cm="1">
        <f t="array" ref="A128">INDEX(clean_weekly_data!$A:$A,$E128)+MOD(ROW()-2,7)</f>
        <v>45782</v>
      </c>
      <c r="B128" s="39" t="str">
        <f t="shared" si="3"/>
        <v>Monday</v>
      </c>
      <c r="C128" s="58" cm="1">
        <f t="array" ref="C128">INDEX(clean_weekly_data!$C:$I,$E128,MOD(ROW()-2,7)+1)</f>
        <v>1474</v>
      </c>
      <c r="D128" s="57" t="str">
        <f t="shared" si="5"/>
        <v>May 2025</v>
      </c>
      <c r="E128" s="39">
        <f t="shared" si="4"/>
        <v>20</v>
      </c>
    </row>
    <row r="129" spans="1:5" ht="25" customHeight="1" x14ac:dyDescent="0.15">
      <c r="A129" s="57" cm="1">
        <f t="array" ref="A129">INDEX(clean_weekly_data!$A:$A,$E129)+MOD(ROW()-2,7)</f>
        <v>45783</v>
      </c>
      <c r="B129" s="39" t="str">
        <f t="shared" si="3"/>
        <v>Tuesday</v>
      </c>
      <c r="C129" s="58" cm="1">
        <f t="array" ref="C129">INDEX(clean_weekly_data!$C:$I,$E129,MOD(ROW()-2,7)+1)</f>
        <v>0</v>
      </c>
      <c r="D129" s="57" t="str">
        <f t="shared" si="5"/>
        <v>May 2025</v>
      </c>
      <c r="E129" s="39">
        <f t="shared" si="4"/>
        <v>20</v>
      </c>
    </row>
    <row r="130" spans="1:5" ht="25" customHeight="1" x14ac:dyDescent="0.15">
      <c r="A130" s="57" cm="1">
        <f t="array" ref="A130">INDEX(clean_weekly_data!$A:$A,$E130)+MOD(ROW()-2,7)</f>
        <v>45784</v>
      </c>
      <c r="B130" s="39" t="str">
        <f t="shared" si="3"/>
        <v>Wednesday</v>
      </c>
      <c r="C130" s="58" cm="1">
        <f t="array" ref="C130">INDEX(clean_weekly_data!$C:$I,$E130,MOD(ROW()-2,7)+1)</f>
        <v>4041</v>
      </c>
      <c r="D130" s="57" t="str">
        <f t="shared" si="5"/>
        <v>May 2025</v>
      </c>
      <c r="E130" s="39">
        <f t="shared" si="4"/>
        <v>20</v>
      </c>
    </row>
    <row r="131" spans="1:5" ht="25" customHeight="1" x14ac:dyDescent="0.15">
      <c r="A131" s="57" cm="1">
        <f t="array" ref="A131">INDEX(clean_weekly_data!$A:$A,$E131)+MOD(ROW()-2,7)</f>
        <v>45785</v>
      </c>
      <c r="B131" s="39" t="str">
        <f t="shared" ref="B131:B194" si="6">CHOOSE(MOD(ROW()-2,7)+1,"Monday","Tuesday","Wednesday","Thursday","Friday","Saturday","Sunday")</f>
        <v>Thursday</v>
      </c>
      <c r="C131" s="58" cm="1">
        <f t="array" ref="C131">INDEX(clean_weekly_data!$C:$I,$E131,MOD(ROW()-2,7)+1)</f>
        <v>3588</v>
      </c>
      <c r="D131" s="57" t="str">
        <f t="shared" si="5"/>
        <v>May 2025</v>
      </c>
      <c r="E131" s="39">
        <f t="shared" ref="E131:E194" si="7">INT((ROW()-2)/7)+2</f>
        <v>20</v>
      </c>
    </row>
    <row r="132" spans="1:5" ht="25" customHeight="1" x14ac:dyDescent="0.15">
      <c r="A132" s="57" cm="1">
        <f t="array" ref="A132">INDEX(clean_weekly_data!$A:$A,$E132)+MOD(ROW()-2,7)</f>
        <v>45786</v>
      </c>
      <c r="B132" s="39" t="str">
        <f t="shared" si="6"/>
        <v>Friday</v>
      </c>
      <c r="C132" s="58" cm="1">
        <f t="array" ref="C132">INDEX(clean_weekly_data!$C:$I,$E132,MOD(ROW()-2,7)+1)</f>
        <v>11708</v>
      </c>
      <c r="D132" s="57" t="str">
        <f t="shared" si="5"/>
        <v>May 2025</v>
      </c>
      <c r="E132" s="39">
        <f t="shared" si="7"/>
        <v>20</v>
      </c>
    </row>
    <row r="133" spans="1:5" ht="25" customHeight="1" x14ac:dyDescent="0.15">
      <c r="A133" s="57" cm="1">
        <f t="array" ref="A133">INDEX(clean_weekly_data!$A:$A,$E133)+MOD(ROW()-2,7)</f>
        <v>45787</v>
      </c>
      <c r="B133" s="39" t="str">
        <f t="shared" si="6"/>
        <v>Saturday</v>
      </c>
      <c r="C133" s="58" cm="1">
        <f t="array" ref="C133">INDEX(clean_weekly_data!$C:$I,$E133,MOD(ROW()-2,7)+1)</f>
        <v>14558</v>
      </c>
      <c r="D133" s="57" t="str">
        <f t="shared" si="5"/>
        <v>May 2025</v>
      </c>
      <c r="E133" s="39">
        <f t="shared" si="7"/>
        <v>20</v>
      </c>
    </row>
    <row r="134" spans="1:5" ht="25" customHeight="1" x14ac:dyDescent="0.15">
      <c r="A134" s="57" cm="1">
        <f t="array" ref="A134">INDEX(clean_weekly_data!$A:$A,$E134)+MOD(ROW()-2,7)</f>
        <v>45788</v>
      </c>
      <c r="B134" s="39" t="str">
        <f t="shared" si="6"/>
        <v>Sunday</v>
      </c>
      <c r="C134" s="58" cm="1">
        <f t="array" ref="C134">INDEX(clean_weekly_data!$C:$I,$E134,MOD(ROW()-2,7)+1)</f>
        <v>15587.75</v>
      </c>
      <c r="D134" s="57" t="str">
        <f t="shared" si="5"/>
        <v>May 2025</v>
      </c>
      <c r="E134" s="39">
        <f t="shared" si="7"/>
        <v>20</v>
      </c>
    </row>
    <row r="135" spans="1:5" ht="25" customHeight="1" x14ac:dyDescent="0.15">
      <c r="A135" s="57" cm="1">
        <f t="array" ref="A135">INDEX(clean_weekly_data!$A:$A,$E135)+MOD(ROW()-2,7)</f>
        <v>45789</v>
      </c>
      <c r="B135" s="39" t="str">
        <f t="shared" si="6"/>
        <v>Monday</v>
      </c>
      <c r="C135" s="58" cm="1">
        <f t="array" ref="C135">INDEX(clean_weekly_data!$C:$I,$E135,MOD(ROW()-2,7)+1)</f>
        <v>3653</v>
      </c>
      <c r="D135" s="57" t="str">
        <f t="shared" si="5"/>
        <v>May 2025</v>
      </c>
      <c r="E135" s="39">
        <f t="shared" si="7"/>
        <v>21</v>
      </c>
    </row>
    <row r="136" spans="1:5" ht="25" customHeight="1" x14ac:dyDescent="0.15">
      <c r="A136" s="57" cm="1">
        <f t="array" ref="A136">INDEX(clean_weekly_data!$A:$A,$E136)+MOD(ROW()-2,7)</f>
        <v>45790</v>
      </c>
      <c r="B136" s="39" t="str">
        <f t="shared" si="6"/>
        <v>Tuesday</v>
      </c>
      <c r="C136" s="58" cm="1">
        <f t="array" ref="C136">INDEX(clean_weekly_data!$C:$I,$E136,MOD(ROW()-2,7)+1)</f>
        <v>0</v>
      </c>
      <c r="D136" s="57" t="str">
        <f t="shared" si="5"/>
        <v>May 2025</v>
      </c>
      <c r="E136" s="39">
        <f t="shared" si="7"/>
        <v>21</v>
      </c>
    </row>
    <row r="137" spans="1:5" ht="25" customHeight="1" x14ac:dyDescent="0.15">
      <c r="A137" s="57" cm="1">
        <f t="array" ref="A137">INDEX(clean_weekly_data!$A:$A,$E137)+MOD(ROW()-2,7)</f>
        <v>45791</v>
      </c>
      <c r="B137" s="39" t="str">
        <f t="shared" si="6"/>
        <v>Wednesday</v>
      </c>
      <c r="C137" s="58" cm="1">
        <f t="array" ref="C137">INDEX(clean_weekly_data!$C:$I,$E137,MOD(ROW()-2,7)+1)</f>
        <v>4927</v>
      </c>
      <c r="D137" s="57" t="str">
        <f t="shared" si="5"/>
        <v>May 2025</v>
      </c>
      <c r="E137" s="39">
        <f t="shared" si="7"/>
        <v>21</v>
      </c>
    </row>
    <row r="138" spans="1:5" ht="25" customHeight="1" x14ac:dyDescent="0.15">
      <c r="A138" s="57" cm="1">
        <f t="array" ref="A138">INDEX(clean_weekly_data!$A:$A,$E138)+MOD(ROW()-2,7)</f>
        <v>45792</v>
      </c>
      <c r="B138" s="39" t="str">
        <f t="shared" si="6"/>
        <v>Thursday</v>
      </c>
      <c r="C138" s="58" cm="1">
        <f t="array" ref="C138">INDEX(clean_weekly_data!$C:$I,$E138,MOD(ROW()-2,7)+1)</f>
        <v>5650</v>
      </c>
      <c r="D138" s="57" t="str">
        <f t="shared" si="5"/>
        <v>May 2025</v>
      </c>
      <c r="E138" s="39">
        <f t="shared" si="7"/>
        <v>21</v>
      </c>
    </row>
    <row r="139" spans="1:5" ht="25" customHeight="1" x14ac:dyDescent="0.15">
      <c r="A139" s="57" cm="1">
        <f t="array" ref="A139">INDEX(clean_weekly_data!$A:$A,$E139)+MOD(ROW()-2,7)</f>
        <v>45793</v>
      </c>
      <c r="B139" s="39" t="str">
        <f t="shared" si="6"/>
        <v>Friday</v>
      </c>
      <c r="C139" s="58" cm="1">
        <f t="array" ref="C139">INDEX(clean_weekly_data!$C:$I,$E139,MOD(ROW()-2,7)+1)</f>
        <v>11726</v>
      </c>
      <c r="D139" s="57" t="str">
        <f t="shared" si="5"/>
        <v>May 2025</v>
      </c>
      <c r="E139" s="39">
        <f t="shared" si="7"/>
        <v>21</v>
      </c>
    </row>
    <row r="140" spans="1:5" ht="25" customHeight="1" x14ac:dyDescent="0.15">
      <c r="A140" s="57" cm="1">
        <f t="array" ref="A140">INDEX(clean_weekly_data!$A:$A,$E140)+MOD(ROW()-2,7)</f>
        <v>45794</v>
      </c>
      <c r="B140" s="39" t="str">
        <f t="shared" si="6"/>
        <v>Saturday</v>
      </c>
      <c r="C140" s="58" cm="1">
        <f t="array" ref="C140">INDEX(clean_weekly_data!$C:$I,$E140,MOD(ROW()-2,7)+1)</f>
        <v>13835</v>
      </c>
      <c r="D140" s="57" t="str">
        <f t="shared" si="5"/>
        <v>May 2025</v>
      </c>
      <c r="E140" s="39">
        <f t="shared" si="7"/>
        <v>21</v>
      </c>
    </row>
    <row r="141" spans="1:5" ht="25" customHeight="1" x14ac:dyDescent="0.15">
      <c r="A141" s="57" cm="1">
        <f t="array" ref="A141">INDEX(clean_weekly_data!$A:$A,$E141)+MOD(ROW()-2,7)</f>
        <v>45795</v>
      </c>
      <c r="B141" s="39" t="str">
        <f t="shared" si="6"/>
        <v>Sunday</v>
      </c>
      <c r="C141" s="58" cm="1">
        <f t="array" ref="C141">INDEX(clean_weekly_data!$C:$I,$E141,MOD(ROW()-2,7)+1)</f>
        <v>8377</v>
      </c>
      <c r="D141" s="57" t="str">
        <f t="shared" si="5"/>
        <v>May 2025</v>
      </c>
      <c r="E141" s="39">
        <f t="shared" si="7"/>
        <v>21</v>
      </c>
    </row>
    <row r="142" spans="1:5" ht="25" customHeight="1" x14ac:dyDescent="0.15">
      <c r="A142" s="57" cm="1">
        <f t="array" ref="A142">INDEX(clean_weekly_data!$A:$A,$E142)+MOD(ROW()-2,7)</f>
        <v>45796</v>
      </c>
      <c r="B142" s="39" t="str">
        <f t="shared" si="6"/>
        <v>Monday</v>
      </c>
      <c r="C142" s="58" cm="1">
        <f t="array" ref="C142">INDEX(clean_weekly_data!$C:$I,$E142,MOD(ROW()-2,7)+1)</f>
        <v>3299</v>
      </c>
      <c r="D142" s="57" t="str">
        <f t="shared" si="5"/>
        <v>May 2025</v>
      </c>
      <c r="E142" s="39">
        <f t="shared" si="7"/>
        <v>22</v>
      </c>
    </row>
    <row r="143" spans="1:5" ht="25" customHeight="1" x14ac:dyDescent="0.15">
      <c r="A143" s="57" cm="1">
        <f t="array" ref="A143">INDEX(clean_weekly_data!$A:$A,$E143)+MOD(ROW()-2,7)</f>
        <v>45797</v>
      </c>
      <c r="B143" s="39" t="str">
        <f t="shared" si="6"/>
        <v>Tuesday</v>
      </c>
      <c r="C143" s="58" cm="1">
        <f t="array" ref="C143">INDEX(clean_weekly_data!$C:$I,$E143,MOD(ROW()-2,7)+1)</f>
        <v>0</v>
      </c>
      <c r="D143" s="57" t="str">
        <f t="shared" si="5"/>
        <v>May 2025</v>
      </c>
      <c r="E143" s="39">
        <f t="shared" si="7"/>
        <v>22</v>
      </c>
    </row>
    <row r="144" spans="1:5" ht="25" customHeight="1" x14ac:dyDescent="0.15">
      <c r="A144" s="57" cm="1">
        <f t="array" ref="A144">INDEX(clean_weekly_data!$A:$A,$E144)+MOD(ROW()-2,7)</f>
        <v>45798</v>
      </c>
      <c r="B144" s="39" t="str">
        <f t="shared" si="6"/>
        <v>Wednesday</v>
      </c>
      <c r="C144" s="58" cm="1">
        <f t="array" ref="C144">INDEX(clean_weekly_data!$C:$I,$E144,MOD(ROW()-2,7)+1)</f>
        <v>5200</v>
      </c>
      <c r="D144" s="57" t="str">
        <f t="shared" si="5"/>
        <v>May 2025</v>
      </c>
      <c r="E144" s="39">
        <f t="shared" si="7"/>
        <v>22</v>
      </c>
    </row>
    <row r="145" spans="1:5" ht="25" customHeight="1" x14ac:dyDescent="0.15">
      <c r="A145" s="57" cm="1">
        <f t="array" ref="A145">INDEX(clean_weekly_data!$A:$A,$E145)+MOD(ROW()-2,7)</f>
        <v>45799</v>
      </c>
      <c r="B145" s="39" t="str">
        <f t="shared" si="6"/>
        <v>Thursday</v>
      </c>
      <c r="C145" s="58" cm="1">
        <f t="array" ref="C145">INDEX(clean_weekly_data!$C:$I,$E145,MOD(ROW()-2,7)+1)</f>
        <v>4369</v>
      </c>
      <c r="D145" s="57" t="str">
        <f t="shared" si="5"/>
        <v>May 2025</v>
      </c>
      <c r="E145" s="39">
        <f t="shared" si="7"/>
        <v>22</v>
      </c>
    </row>
    <row r="146" spans="1:5" ht="25" customHeight="1" x14ac:dyDescent="0.15">
      <c r="A146" s="57" cm="1">
        <f t="array" ref="A146">INDEX(clean_weekly_data!$A:$A,$E146)+MOD(ROW()-2,7)</f>
        <v>45800</v>
      </c>
      <c r="B146" s="39" t="str">
        <f t="shared" si="6"/>
        <v>Friday</v>
      </c>
      <c r="C146" s="58" cm="1">
        <f t="array" ref="C146">INDEX(clean_weekly_data!$C:$I,$E146,MOD(ROW()-2,7)+1)</f>
        <v>14274</v>
      </c>
      <c r="D146" s="57" t="str">
        <f t="shared" si="5"/>
        <v>May 2025</v>
      </c>
      <c r="E146" s="39">
        <f t="shared" si="7"/>
        <v>22</v>
      </c>
    </row>
    <row r="147" spans="1:5" ht="25" customHeight="1" x14ac:dyDescent="0.15">
      <c r="A147" s="57" cm="1">
        <f t="array" ref="A147">INDEX(clean_weekly_data!$A:$A,$E147)+MOD(ROW()-2,7)</f>
        <v>45801</v>
      </c>
      <c r="B147" s="39" t="str">
        <f t="shared" si="6"/>
        <v>Saturday</v>
      </c>
      <c r="C147" s="58" cm="1">
        <f t="array" ref="C147">INDEX(clean_weekly_data!$C:$I,$E147,MOD(ROW()-2,7)+1)</f>
        <v>10887</v>
      </c>
      <c r="D147" s="57" t="str">
        <f t="shared" si="5"/>
        <v>May 2025</v>
      </c>
      <c r="E147" s="39">
        <f t="shared" si="7"/>
        <v>22</v>
      </c>
    </row>
    <row r="148" spans="1:5" ht="25" customHeight="1" x14ac:dyDescent="0.15">
      <c r="A148" s="57" cm="1">
        <f t="array" ref="A148">INDEX(clean_weekly_data!$A:$A,$E148)+MOD(ROW()-2,7)</f>
        <v>45802</v>
      </c>
      <c r="B148" s="39" t="str">
        <f t="shared" si="6"/>
        <v>Sunday</v>
      </c>
      <c r="C148" s="58" cm="1">
        <f t="array" ref="C148">INDEX(clean_weekly_data!$C:$I,$E148,MOD(ROW()-2,7)+1)</f>
        <v>7599</v>
      </c>
      <c r="D148" s="57" t="str">
        <f t="shared" si="5"/>
        <v>May 2025</v>
      </c>
      <c r="E148" s="39">
        <f t="shared" si="7"/>
        <v>22</v>
      </c>
    </row>
    <row r="149" spans="1:5" ht="25" customHeight="1" x14ac:dyDescent="0.15">
      <c r="A149" s="57" cm="1">
        <f t="array" ref="A149">INDEX(clean_weekly_data!$A:$A,$E149)+MOD(ROW()-2,7)</f>
        <v>45803</v>
      </c>
      <c r="B149" s="39" t="str">
        <f t="shared" si="6"/>
        <v>Monday</v>
      </c>
      <c r="C149" s="58" cm="1">
        <f t="array" ref="C149">INDEX(clean_weekly_data!$C:$I,$E149,MOD(ROW()-2,7)+1)</f>
        <v>0</v>
      </c>
      <c r="D149" s="57" t="str">
        <f t="shared" si="5"/>
        <v>May 2025</v>
      </c>
      <c r="E149" s="39">
        <f t="shared" si="7"/>
        <v>23</v>
      </c>
    </row>
    <row r="150" spans="1:5" ht="25" customHeight="1" x14ac:dyDescent="0.15">
      <c r="A150" s="57" cm="1">
        <f t="array" ref="A150">INDEX(clean_weekly_data!$A:$A,$E150)+MOD(ROW()-2,7)</f>
        <v>45804</v>
      </c>
      <c r="B150" s="39" t="str">
        <f t="shared" si="6"/>
        <v>Tuesday</v>
      </c>
      <c r="C150" s="58" cm="1">
        <f t="array" ref="C150">INDEX(clean_weekly_data!$C:$I,$E150,MOD(ROW()-2,7)+1)</f>
        <v>0</v>
      </c>
      <c r="D150" s="57" t="str">
        <f t="shared" si="5"/>
        <v>May 2025</v>
      </c>
      <c r="E150" s="39">
        <f t="shared" si="7"/>
        <v>23</v>
      </c>
    </row>
    <row r="151" spans="1:5" ht="25" customHeight="1" x14ac:dyDescent="0.15">
      <c r="A151" s="57" cm="1">
        <f t="array" ref="A151">INDEX(clean_weekly_data!$A:$A,$E151)+MOD(ROW()-2,7)</f>
        <v>45805</v>
      </c>
      <c r="B151" s="39" t="str">
        <f t="shared" si="6"/>
        <v>Wednesday</v>
      </c>
      <c r="C151" s="58" cm="1">
        <f t="array" ref="C151">INDEX(clean_weekly_data!$C:$I,$E151,MOD(ROW()-2,7)+1)</f>
        <v>7149</v>
      </c>
      <c r="D151" s="57" t="str">
        <f t="shared" si="5"/>
        <v>May 2025</v>
      </c>
      <c r="E151" s="39">
        <f t="shared" si="7"/>
        <v>23</v>
      </c>
    </row>
    <row r="152" spans="1:5" ht="25" customHeight="1" x14ac:dyDescent="0.15">
      <c r="A152" s="57" cm="1">
        <f t="array" ref="A152">INDEX(clean_weekly_data!$A:$A,$E152)+MOD(ROW()-2,7)</f>
        <v>45806</v>
      </c>
      <c r="B152" s="39" t="str">
        <f t="shared" si="6"/>
        <v>Thursday</v>
      </c>
      <c r="C152" s="58" cm="1">
        <f t="array" ref="C152">INDEX(clean_weekly_data!$C:$I,$E152,MOD(ROW()-2,7)+1)</f>
        <v>6069</v>
      </c>
      <c r="D152" s="57" t="str">
        <f t="shared" si="5"/>
        <v>May 2025</v>
      </c>
      <c r="E152" s="39">
        <f t="shared" si="7"/>
        <v>23</v>
      </c>
    </row>
    <row r="153" spans="1:5" ht="25" customHeight="1" x14ac:dyDescent="0.15">
      <c r="A153" s="57" cm="1">
        <f t="array" ref="A153">INDEX(clean_weekly_data!$A:$A,$E153)+MOD(ROW()-2,7)</f>
        <v>45807</v>
      </c>
      <c r="B153" s="39" t="str">
        <f t="shared" si="6"/>
        <v>Friday</v>
      </c>
      <c r="C153" s="58" cm="1">
        <f t="array" ref="C153">INDEX(clean_weekly_data!$C:$I,$E153,MOD(ROW()-2,7)+1)</f>
        <v>11483</v>
      </c>
      <c r="D153" s="57" t="str">
        <f t="shared" si="5"/>
        <v>May 2025</v>
      </c>
      <c r="E153" s="39">
        <f t="shared" si="7"/>
        <v>23</v>
      </c>
    </row>
    <row r="154" spans="1:5" ht="25" customHeight="1" x14ac:dyDescent="0.15">
      <c r="A154" s="57" cm="1">
        <f t="array" ref="A154">INDEX(clean_weekly_data!$A:$A,$E154)+MOD(ROW()-2,7)</f>
        <v>45808</v>
      </c>
      <c r="B154" s="39" t="str">
        <f t="shared" si="6"/>
        <v>Saturday</v>
      </c>
      <c r="C154" s="58" cm="1">
        <f t="array" ref="C154">INDEX(clean_weekly_data!$C:$I,$E154,MOD(ROW()-2,7)+1)</f>
        <v>13634</v>
      </c>
      <c r="D154" s="57" t="str">
        <f t="shared" si="5"/>
        <v>May 2025</v>
      </c>
      <c r="E154" s="39">
        <f t="shared" si="7"/>
        <v>23</v>
      </c>
    </row>
    <row r="155" spans="1:5" ht="25" customHeight="1" x14ac:dyDescent="0.15">
      <c r="A155" s="57" cm="1">
        <f t="array" ref="A155">INDEX(clean_weekly_data!$A:$A,$E155)+MOD(ROW()-2,7)</f>
        <v>45809</v>
      </c>
      <c r="B155" s="39" t="str">
        <f t="shared" si="6"/>
        <v>Sunday</v>
      </c>
      <c r="C155" s="58" cm="1">
        <f t="array" ref="C155">INDEX(clean_weekly_data!$C:$I,$E155,MOD(ROW()-2,7)+1)</f>
        <v>8915</v>
      </c>
      <c r="D155" s="57" t="str">
        <f t="shared" si="5"/>
        <v>Jun 2025</v>
      </c>
      <c r="E155" s="39">
        <f t="shared" si="7"/>
        <v>23</v>
      </c>
    </row>
    <row r="156" spans="1:5" ht="25" customHeight="1" x14ac:dyDescent="0.15">
      <c r="A156" s="57" cm="1">
        <f t="array" ref="A156">INDEX(clean_weekly_data!$A:$A,$E156)+MOD(ROW()-2,7)</f>
        <v>45810</v>
      </c>
      <c r="B156" s="39" t="str">
        <f t="shared" si="6"/>
        <v>Monday</v>
      </c>
      <c r="C156" s="58" cm="1">
        <f t="array" ref="C156">INDEX(clean_weekly_data!$C:$I,$E156,MOD(ROW()-2,7)+1)</f>
        <v>5029</v>
      </c>
      <c r="D156" s="57" t="str">
        <f t="shared" si="5"/>
        <v>Jun 2025</v>
      </c>
      <c r="E156" s="39">
        <f t="shared" si="7"/>
        <v>24</v>
      </c>
    </row>
    <row r="157" spans="1:5" ht="25" customHeight="1" x14ac:dyDescent="0.15">
      <c r="A157" s="57" cm="1">
        <f t="array" ref="A157">INDEX(clean_weekly_data!$A:$A,$E157)+MOD(ROW()-2,7)</f>
        <v>45811</v>
      </c>
      <c r="B157" s="39" t="str">
        <f t="shared" si="6"/>
        <v>Tuesday</v>
      </c>
      <c r="C157" s="58" cm="1">
        <f t="array" ref="C157">INDEX(clean_weekly_data!$C:$I,$E157,MOD(ROW()-2,7)+1)</f>
        <v>0</v>
      </c>
      <c r="D157" s="57" t="str">
        <f t="shared" si="5"/>
        <v>Jun 2025</v>
      </c>
      <c r="E157" s="39">
        <f t="shared" si="7"/>
        <v>24</v>
      </c>
    </row>
    <row r="158" spans="1:5" ht="25" customHeight="1" x14ac:dyDescent="0.15">
      <c r="A158" s="57" cm="1">
        <f t="array" ref="A158">INDEX(clean_weekly_data!$A:$A,$E158)+MOD(ROW()-2,7)</f>
        <v>45812</v>
      </c>
      <c r="B158" s="39" t="str">
        <f t="shared" si="6"/>
        <v>Wednesday</v>
      </c>
      <c r="C158" s="58" cm="1">
        <f t="array" ref="C158">INDEX(clean_weekly_data!$C:$I,$E158,MOD(ROW()-2,7)+1)</f>
        <v>6096</v>
      </c>
      <c r="D158" s="57" t="str">
        <f t="shared" si="5"/>
        <v>Jun 2025</v>
      </c>
      <c r="E158" s="39">
        <f t="shared" si="7"/>
        <v>24</v>
      </c>
    </row>
    <row r="159" spans="1:5" ht="25" customHeight="1" x14ac:dyDescent="0.15">
      <c r="A159" s="57" cm="1">
        <f t="array" ref="A159">INDEX(clean_weekly_data!$A:$A,$E159)+MOD(ROW()-2,7)</f>
        <v>45813</v>
      </c>
      <c r="B159" s="39" t="str">
        <f t="shared" si="6"/>
        <v>Thursday</v>
      </c>
      <c r="C159" s="58" cm="1">
        <f t="array" ref="C159">INDEX(clean_weekly_data!$C:$I,$E159,MOD(ROW()-2,7)+1)</f>
        <v>6515.6</v>
      </c>
      <c r="D159" s="57" t="str">
        <f t="shared" si="5"/>
        <v>Jun 2025</v>
      </c>
      <c r="E159" s="39">
        <f t="shared" si="7"/>
        <v>24</v>
      </c>
    </row>
    <row r="160" spans="1:5" ht="25" customHeight="1" x14ac:dyDescent="0.15">
      <c r="A160" s="57" cm="1">
        <f t="array" ref="A160">INDEX(clean_weekly_data!$A:$A,$E160)+MOD(ROW()-2,7)</f>
        <v>45814</v>
      </c>
      <c r="B160" s="39" t="str">
        <f t="shared" si="6"/>
        <v>Friday</v>
      </c>
      <c r="C160" s="58" cm="1">
        <f t="array" ref="C160">INDEX(clean_weekly_data!$C:$I,$E160,MOD(ROW()-2,7)+1)</f>
        <v>14041</v>
      </c>
      <c r="D160" s="57" t="str">
        <f t="shared" si="5"/>
        <v>Jun 2025</v>
      </c>
      <c r="E160" s="39">
        <f t="shared" si="7"/>
        <v>24</v>
      </c>
    </row>
    <row r="161" spans="1:5" ht="25" customHeight="1" x14ac:dyDescent="0.15">
      <c r="A161" s="57" cm="1">
        <f t="array" ref="A161">INDEX(clean_weekly_data!$A:$A,$E161)+MOD(ROW()-2,7)</f>
        <v>45815</v>
      </c>
      <c r="B161" s="39" t="str">
        <f t="shared" si="6"/>
        <v>Saturday</v>
      </c>
      <c r="C161" s="58" cm="1">
        <f t="array" ref="C161">INDEX(clean_weekly_data!$C:$I,$E161,MOD(ROW()-2,7)+1)</f>
        <v>11141</v>
      </c>
      <c r="D161" s="57" t="str">
        <f t="shared" si="5"/>
        <v>Jun 2025</v>
      </c>
      <c r="E161" s="39">
        <f t="shared" si="7"/>
        <v>24</v>
      </c>
    </row>
    <row r="162" spans="1:5" ht="25" customHeight="1" x14ac:dyDescent="0.15">
      <c r="A162" s="57" cm="1">
        <f t="array" ref="A162">INDEX(clean_weekly_data!$A:$A,$E162)+MOD(ROW()-2,7)</f>
        <v>45816</v>
      </c>
      <c r="B162" s="39" t="str">
        <f t="shared" si="6"/>
        <v>Sunday</v>
      </c>
      <c r="C162" s="58" cm="1">
        <f t="array" ref="C162">INDEX(clean_weekly_data!$C:$I,$E162,MOD(ROW()-2,7)+1)</f>
        <v>9759</v>
      </c>
      <c r="D162" s="57" t="str">
        <f t="shared" si="5"/>
        <v>Jun 2025</v>
      </c>
      <c r="E162" s="39">
        <f t="shared" si="7"/>
        <v>24</v>
      </c>
    </row>
    <row r="163" spans="1:5" ht="25" customHeight="1" x14ac:dyDescent="0.15">
      <c r="A163" s="57" cm="1">
        <f t="array" ref="A163">INDEX(clean_weekly_data!$A:$A,$E163)+MOD(ROW()-2,7)</f>
        <v>45817</v>
      </c>
      <c r="B163" s="39" t="str">
        <f t="shared" si="6"/>
        <v>Monday</v>
      </c>
      <c r="C163" s="58" cm="1">
        <f t="array" ref="C163">INDEX(clean_weekly_data!$C:$I,$E163,MOD(ROW()-2,7)+1)</f>
        <v>2645</v>
      </c>
      <c r="D163" s="57" t="str">
        <f t="shared" si="5"/>
        <v>Jun 2025</v>
      </c>
      <c r="E163" s="39">
        <f t="shared" si="7"/>
        <v>25</v>
      </c>
    </row>
    <row r="164" spans="1:5" ht="25" customHeight="1" x14ac:dyDescent="0.15">
      <c r="A164" s="57" cm="1">
        <f t="array" ref="A164">INDEX(clean_weekly_data!$A:$A,$E164)+MOD(ROW()-2,7)</f>
        <v>45818</v>
      </c>
      <c r="B164" s="39" t="str">
        <f t="shared" si="6"/>
        <v>Tuesday</v>
      </c>
      <c r="C164" s="58" cm="1">
        <f t="array" ref="C164">INDEX(clean_weekly_data!$C:$I,$E164,MOD(ROW()-2,7)+1)</f>
        <v>3642</v>
      </c>
      <c r="D164" s="57" t="str">
        <f t="shared" si="5"/>
        <v>Jun 2025</v>
      </c>
      <c r="E164" s="39">
        <f t="shared" si="7"/>
        <v>25</v>
      </c>
    </row>
    <row r="165" spans="1:5" ht="25" customHeight="1" x14ac:dyDescent="0.15">
      <c r="A165" s="57" cm="1">
        <f t="array" ref="A165">INDEX(clean_weekly_data!$A:$A,$E165)+MOD(ROW()-2,7)</f>
        <v>45819</v>
      </c>
      <c r="B165" s="39" t="str">
        <f t="shared" si="6"/>
        <v>Wednesday</v>
      </c>
      <c r="C165" s="58" cm="1">
        <f t="array" ref="C165">INDEX(clean_weekly_data!$C:$I,$E165,MOD(ROW()-2,7)+1)</f>
        <v>7078</v>
      </c>
      <c r="D165" s="57" t="str">
        <f t="shared" ref="D165:D228" si="8">TEXT(A165,"mmm yyyy")</f>
        <v>Jun 2025</v>
      </c>
      <c r="E165" s="39">
        <f t="shared" si="7"/>
        <v>25</v>
      </c>
    </row>
    <row r="166" spans="1:5" ht="25" customHeight="1" x14ac:dyDescent="0.15">
      <c r="A166" s="57" cm="1">
        <f t="array" ref="A166">INDEX(clean_weekly_data!$A:$A,$E166)+MOD(ROW()-2,7)</f>
        <v>45820</v>
      </c>
      <c r="B166" s="39" t="str">
        <f t="shared" si="6"/>
        <v>Thursday</v>
      </c>
      <c r="C166" s="58" cm="1">
        <f t="array" ref="C166">INDEX(clean_weekly_data!$C:$I,$E166,MOD(ROW()-2,7)+1)</f>
        <v>7233</v>
      </c>
      <c r="D166" s="57" t="str">
        <f t="shared" si="8"/>
        <v>Jun 2025</v>
      </c>
      <c r="E166" s="39">
        <f t="shared" si="7"/>
        <v>25</v>
      </c>
    </row>
    <row r="167" spans="1:5" ht="25" customHeight="1" x14ac:dyDescent="0.15">
      <c r="A167" s="57" cm="1">
        <f t="array" ref="A167">INDEX(clean_weekly_data!$A:$A,$E167)+MOD(ROW()-2,7)</f>
        <v>45821</v>
      </c>
      <c r="B167" s="39" t="str">
        <f t="shared" si="6"/>
        <v>Friday</v>
      </c>
      <c r="C167" s="58" cm="1">
        <f t="array" ref="C167">INDEX(clean_weekly_data!$C:$I,$E167,MOD(ROW()-2,7)+1)</f>
        <v>11281</v>
      </c>
      <c r="D167" s="57" t="str">
        <f t="shared" si="8"/>
        <v>Jun 2025</v>
      </c>
      <c r="E167" s="39">
        <f t="shared" si="7"/>
        <v>25</v>
      </c>
    </row>
    <row r="168" spans="1:5" ht="25" customHeight="1" x14ac:dyDescent="0.15">
      <c r="A168" s="57" cm="1">
        <f t="array" ref="A168">INDEX(clean_weekly_data!$A:$A,$E168)+MOD(ROW()-2,7)</f>
        <v>45822</v>
      </c>
      <c r="B168" s="39" t="str">
        <f t="shared" si="6"/>
        <v>Saturday</v>
      </c>
      <c r="C168" s="58" cm="1">
        <f t="array" ref="C168">INDEX(clean_weekly_data!$C:$I,$E168,MOD(ROW()-2,7)+1)</f>
        <v>13107</v>
      </c>
      <c r="D168" s="57" t="str">
        <f t="shared" si="8"/>
        <v>Jun 2025</v>
      </c>
      <c r="E168" s="39">
        <f t="shared" si="7"/>
        <v>25</v>
      </c>
    </row>
    <row r="169" spans="1:5" ht="25" customHeight="1" x14ac:dyDescent="0.15">
      <c r="A169" s="57" cm="1">
        <f t="array" ref="A169">INDEX(clean_weekly_data!$A:$A,$E169)+MOD(ROW()-2,7)</f>
        <v>45823</v>
      </c>
      <c r="B169" s="39" t="str">
        <f t="shared" si="6"/>
        <v>Sunday</v>
      </c>
      <c r="C169" s="58" cm="1">
        <f t="array" ref="C169">INDEX(clean_weekly_data!$C:$I,$E169,MOD(ROW()-2,7)+1)</f>
        <v>11280</v>
      </c>
      <c r="D169" s="57" t="str">
        <f t="shared" si="8"/>
        <v>Jun 2025</v>
      </c>
      <c r="E169" s="39">
        <f t="shared" si="7"/>
        <v>25</v>
      </c>
    </row>
    <row r="170" spans="1:5" ht="25" customHeight="1" x14ac:dyDescent="0.15">
      <c r="A170" s="57" cm="1">
        <f t="array" ref="A170">INDEX(clean_weekly_data!$A:$A,$E170)+MOD(ROW()-2,7)</f>
        <v>45824</v>
      </c>
      <c r="B170" s="39" t="str">
        <f t="shared" si="6"/>
        <v>Monday</v>
      </c>
      <c r="C170" s="58" cm="1">
        <f t="array" ref="C170">INDEX(clean_weekly_data!$C:$I,$E170,MOD(ROW()-2,7)+1)</f>
        <v>5699</v>
      </c>
      <c r="D170" s="57" t="str">
        <f t="shared" si="8"/>
        <v>Jun 2025</v>
      </c>
      <c r="E170" s="39">
        <f t="shared" si="7"/>
        <v>26</v>
      </c>
    </row>
    <row r="171" spans="1:5" ht="25" customHeight="1" x14ac:dyDescent="0.15">
      <c r="A171" s="57" cm="1">
        <f t="array" ref="A171">INDEX(clean_weekly_data!$A:$A,$E171)+MOD(ROW()-2,7)</f>
        <v>45825</v>
      </c>
      <c r="B171" s="39" t="str">
        <f t="shared" si="6"/>
        <v>Tuesday</v>
      </c>
      <c r="C171" s="58" cm="1">
        <f t="array" ref="C171">INDEX(clean_weekly_data!$C:$I,$E171,MOD(ROW()-2,7)+1)</f>
        <v>3610</v>
      </c>
      <c r="D171" s="57" t="str">
        <f t="shared" si="8"/>
        <v>Jun 2025</v>
      </c>
      <c r="E171" s="39">
        <f t="shared" si="7"/>
        <v>26</v>
      </c>
    </row>
    <row r="172" spans="1:5" ht="25" customHeight="1" x14ac:dyDescent="0.15">
      <c r="A172" s="57" cm="1">
        <f t="array" ref="A172">INDEX(clean_weekly_data!$A:$A,$E172)+MOD(ROW()-2,7)</f>
        <v>45826</v>
      </c>
      <c r="B172" s="39" t="str">
        <f t="shared" si="6"/>
        <v>Wednesday</v>
      </c>
      <c r="C172" s="58" cm="1">
        <f t="array" ref="C172">INDEX(clean_weekly_data!$C:$I,$E172,MOD(ROW()-2,7)+1)</f>
        <v>6183</v>
      </c>
      <c r="D172" s="57" t="str">
        <f t="shared" si="8"/>
        <v>Jun 2025</v>
      </c>
      <c r="E172" s="39">
        <f t="shared" si="7"/>
        <v>26</v>
      </c>
    </row>
    <row r="173" spans="1:5" ht="25" customHeight="1" x14ac:dyDescent="0.15">
      <c r="A173" s="57" cm="1">
        <f t="array" ref="A173">INDEX(clean_weekly_data!$A:$A,$E173)+MOD(ROW()-2,7)</f>
        <v>45827</v>
      </c>
      <c r="B173" s="39" t="str">
        <f t="shared" si="6"/>
        <v>Thursday</v>
      </c>
      <c r="C173" s="58" cm="1">
        <f t="array" ref="C173">INDEX(clean_weekly_data!$C:$I,$E173,MOD(ROW()-2,7)+1)</f>
        <v>7379</v>
      </c>
      <c r="D173" s="57" t="str">
        <f t="shared" si="8"/>
        <v>Jun 2025</v>
      </c>
      <c r="E173" s="39">
        <f t="shared" si="7"/>
        <v>26</v>
      </c>
    </row>
    <row r="174" spans="1:5" ht="25" customHeight="1" x14ac:dyDescent="0.15">
      <c r="A174" s="57" cm="1">
        <f t="array" ref="A174">INDEX(clean_weekly_data!$A:$A,$E174)+MOD(ROW()-2,7)</f>
        <v>45828</v>
      </c>
      <c r="B174" s="39" t="str">
        <f t="shared" si="6"/>
        <v>Friday</v>
      </c>
      <c r="C174" s="58" cm="1">
        <f t="array" ref="C174">INDEX(clean_weekly_data!$C:$I,$E174,MOD(ROW()-2,7)+1)</f>
        <v>13357</v>
      </c>
      <c r="D174" s="57" t="str">
        <f t="shared" si="8"/>
        <v>Jun 2025</v>
      </c>
      <c r="E174" s="39">
        <f t="shared" si="7"/>
        <v>26</v>
      </c>
    </row>
    <row r="175" spans="1:5" ht="25" customHeight="1" x14ac:dyDescent="0.15">
      <c r="A175" s="57" cm="1">
        <f t="array" ref="A175">INDEX(clean_weekly_data!$A:$A,$E175)+MOD(ROW()-2,7)</f>
        <v>45829</v>
      </c>
      <c r="B175" s="39" t="str">
        <f t="shared" si="6"/>
        <v>Saturday</v>
      </c>
      <c r="C175" s="58" cm="1">
        <f t="array" ref="C175">INDEX(clean_weekly_data!$C:$I,$E175,MOD(ROW()-2,7)+1)</f>
        <v>10515</v>
      </c>
      <c r="D175" s="57" t="str">
        <f t="shared" si="8"/>
        <v>Jun 2025</v>
      </c>
      <c r="E175" s="39">
        <f t="shared" si="7"/>
        <v>26</v>
      </c>
    </row>
    <row r="176" spans="1:5" ht="25" customHeight="1" x14ac:dyDescent="0.15">
      <c r="A176" s="57" cm="1">
        <f t="array" ref="A176">INDEX(clean_weekly_data!$A:$A,$E176)+MOD(ROW()-2,7)</f>
        <v>45830</v>
      </c>
      <c r="B176" s="39" t="str">
        <f t="shared" si="6"/>
        <v>Sunday</v>
      </c>
      <c r="C176" s="58" cm="1">
        <f t="array" ref="C176">INDEX(clean_weekly_data!$C:$I,$E176,MOD(ROW()-2,7)+1)</f>
        <v>4292</v>
      </c>
      <c r="D176" s="57" t="str">
        <f t="shared" si="8"/>
        <v>Jun 2025</v>
      </c>
      <c r="E176" s="39">
        <f t="shared" si="7"/>
        <v>26</v>
      </c>
    </row>
    <row r="177" spans="1:5" ht="25" customHeight="1" x14ac:dyDescent="0.15">
      <c r="A177" s="57" cm="1">
        <f t="array" ref="A177">INDEX(clean_weekly_data!$A:$A,$E177)+MOD(ROW()-2,7)</f>
        <v>45831</v>
      </c>
      <c r="B177" s="39" t="str">
        <f t="shared" si="6"/>
        <v>Monday</v>
      </c>
      <c r="C177" s="58" cm="1">
        <f t="array" ref="C177">INDEX(clean_weekly_data!$C:$I,$E177,MOD(ROW()-2,7)+1)</f>
        <v>7438</v>
      </c>
      <c r="D177" s="57" t="str">
        <f t="shared" si="8"/>
        <v>Jun 2025</v>
      </c>
      <c r="E177" s="39">
        <f t="shared" si="7"/>
        <v>27</v>
      </c>
    </row>
    <row r="178" spans="1:5" ht="25" customHeight="1" x14ac:dyDescent="0.15">
      <c r="A178" s="57" cm="1">
        <f t="array" ref="A178">INDEX(clean_weekly_data!$A:$A,$E178)+MOD(ROW()-2,7)</f>
        <v>45832</v>
      </c>
      <c r="B178" s="39" t="str">
        <f t="shared" si="6"/>
        <v>Tuesday</v>
      </c>
      <c r="C178" s="58" cm="1">
        <f t="array" ref="C178">INDEX(clean_weekly_data!$C:$I,$E178,MOD(ROW()-2,7)+1)</f>
        <v>4199</v>
      </c>
      <c r="D178" s="57" t="str">
        <f t="shared" si="8"/>
        <v>Jun 2025</v>
      </c>
      <c r="E178" s="39">
        <f t="shared" si="7"/>
        <v>27</v>
      </c>
    </row>
    <row r="179" spans="1:5" ht="25" customHeight="1" x14ac:dyDescent="0.15">
      <c r="A179" s="57" cm="1">
        <f t="array" ref="A179">INDEX(clean_weekly_data!$A:$A,$E179)+MOD(ROW()-2,7)</f>
        <v>45833</v>
      </c>
      <c r="B179" s="39" t="str">
        <f t="shared" si="6"/>
        <v>Wednesday</v>
      </c>
      <c r="C179" s="58" cm="1">
        <f t="array" ref="C179">INDEX(clean_weekly_data!$C:$I,$E179,MOD(ROW()-2,7)+1)</f>
        <v>5973</v>
      </c>
      <c r="D179" s="57" t="str">
        <f t="shared" si="8"/>
        <v>Jun 2025</v>
      </c>
      <c r="E179" s="39">
        <f t="shared" si="7"/>
        <v>27</v>
      </c>
    </row>
    <row r="180" spans="1:5" ht="25" customHeight="1" x14ac:dyDescent="0.15">
      <c r="A180" s="57" cm="1">
        <f t="array" ref="A180">INDEX(clean_weekly_data!$A:$A,$E180)+MOD(ROW()-2,7)</f>
        <v>45834</v>
      </c>
      <c r="B180" s="39" t="str">
        <f t="shared" si="6"/>
        <v>Thursday</v>
      </c>
      <c r="C180" s="58" cm="1">
        <f t="array" ref="C180">INDEX(clean_weekly_data!$C:$I,$E180,MOD(ROW()-2,7)+1)</f>
        <v>6621</v>
      </c>
      <c r="D180" s="57" t="str">
        <f t="shared" si="8"/>
        <v>Jun 2025</v>
      </c>
      <c r="E180" s="39">
        <f t="shared" si="7"/>
        <v>27</v>
      </c>
    </row>
    <row r="181" spans="1:5" ht="25" customHeight="1" x14ac:dyDescent="0.15">
      <c r="A181" s="57" cm="1">
        <f t="array" ref="A181">INDEX(clean_weekly_data!$A:$A,$E181)+MOD(ROW()-2,7)</f>
        <v>45835</v>
      </c>
      <c r="B181" s="39" t="str">
        <f t="shared" si="6"/>
        <v>Friday</v>
      </c>
      <c r="C181" s="58" cm="1">
        <f t="array" ref="C181">INDEX(clean_weekly_data!$C:$I,$E181,MOD(ROW()-2,7)+1)</f>
        <v>13845</v>
      </c>
      <c r="D181" s="57" t="str">
        <f t="shared" si="8"/>
        <v>Jun 2025</v>
      </c>
      <c r="E181" s="39">
        <f t="shared" si="7"/>
        <v>27</v>
      </c>
    </row>
    <row r="182" spans="1:5" ht="25" customHeight="1" x14ac:dyDescent="0.15">
      <c r="A182" s="57" cm="1">
        <f t="array" ref="A182">INDEX(clean_weekly_data!$A:$A,$E182)+MOD(ROW()-2,7)</f>
        <v>45836</v>
      </c>
      <c r="B182" s="39" t="str">
        <f t="shared" si="6"/>
        <v>Saturday</v>
      </c>
      <c r="C182" s="58" cm="1">
        <f t="array" ref="C182">INDEX(clean_weekly_data!$C:$I,$E182,MOD(ROW()-2,7)+1)</f>
        <v>10373</v>
      </c>
      <c r="D182" s="57" t="str">
        <f t="shared" si="8"/>
        <v>Jun 2025</v>
      </c>
      <c r="E182" s="39">
        <f t="shared" si="7"/>
        <v>27</v>
      </c>
    </row>
    <row r="183" spans="1:5" ht="25" customHeight="1" x14ac:dyDescent="0.15">
      <c r="A183" s="57" cm="1">
        <f t="array" ref="A183">INDEX(clean_weekly_data!$A:$A,$E183)+MOD(ROW()-2,7)</f>
        <v>45837</v>
      </c>
      <c r="B183" s="39" t="str">
        <f t="shared" si="6"/>
        <v>Sunday</v>
      </c>
      <c r="C183" s="58" cm="1">
        <f t="array" ref="C183">INDEX(clean_weekly_data!$C:$I,$E183,MOD(ROW()-2,7)+1)</f>
        <v>6176</v>
      </c>
      <c r="D183" s="57" t="str">
        <f t="shared" si="8"/>
        <v>Jun 2025</v>
      </c>
      <c r="E183" s="39">
        <f t="shared" si="7"/>
        <v>27</v>
      </c>
    </row>
    <row r="184" spans="1:5" ht="25" customHeight="1" x14ac:dyDescent="0.15">
      <c r="A184" s="57" cm="1">
        <f t="array" ref="A184">INDEX(clean_weekly_data!$A:$A,$E184)+MOD(ROW()-2,7)</f>
        <v>45838</v>
      </c>
      <c r="B184" s="39" t="str">
        <f t="shared" si="6"/>
        <v>Monday</v>
      </c>
      <c r="C184" s="58" cm="1">
        <f t="array" ref="C184">INDEX(clean_weekly_data!$C:$I,$E184,MOD(ROW()-2,7)+1)</f>
        <v>6375</v>
      </c>
      <c r="D184" s="57" t="str">
        <f t="shared" si="8"/>
        <v>Jun 2025</v>
      </c>
      <c r="E184" s="39">
        <f t="shared" si="7"/>
        <v>28</v>
      </c>
    </row>
    <row r="185" spans="1:5" ht="25" customHeight="1" x14ac:dyDescent="0.15">
      <c r="A185" s="57" cm="1">
        <f t="array" ref="A185">INDEX(clean_weekly_data!$A:$A,$E185)+MOD(ROW()-2,7)</f>
        <v>45839</v>
      </c>
      <c r="B185" s="39" t="str">
        <f t="shared" si="6"/>
        <v>Tuesday</v>
      </c>
      <c r="C185" s="58" cm="1">
        <f t="array" ref="C185">INDEX(clean_weekly_data!$C:$I,$E185,MOD(ROW()-2,7)+1)</f>
        <v>5681.21</v>
      </c>
      <c r="D185" s="57" t="str">
        <f t="shared" si="8"/>
        <v>Jul 2025</v>
      </c>
      <c r="E185" s="39">
        <f t="shared" si="7"/>
        <v>28</v>
      </c>
    </row>
    <row r="186" spans="1:5" ht="25" customHeight="1" x14ac:dyDescent="0.15">
      <c r="A186" s="57" cm="1">
        <f t="array" ref="A186">INDEX(clean_weekly_data!$A:$A,$E186)+MOD(ROW()-2,7)</f>
        <v>45840</v>
      </c>
      <c r="B186" s="39" t="str">
        <f t="shared" si="6"/>
        <v>Wednesday</v>
      </c>
      <c r="C186" s="58" cm="1">
        <f t="array" ref="C186">INDEX(clean_weekly_data!$C:$I,$E186,MOD(ROW()-2,7)+1)</f>
        <v>6488.35</v>
      </c>
      <c r="D186" s="57" t="str">
        <f t="shared" si="8"/>
        <v>Jul 2025</v>
      </c>
      <c r="E186" s="39">
        <f t="shared" si="7"/>
        <v>28</v>
      </c>
    </row>
    <row r="187" spans="1:5" ht="25" customHeight="1" x14ac:dyDescent="0.15">
      <c r="A187" s="57" cm="1">
        <f t="array" ref="A187">INDEX(clean_weekly_data!$A:$A,$E187)+MOD(ROW()-2,7)</f>
        <v>45841</v>
      </c>
      <c r="B187" s="39" t="str">
        <f t="shared" si="6"/>
        <v>Thursday</v>
      </c>
      <c r="C187" s="58" cm="1">
        <f t="array" ref="C187">INDEX(clean_weekly_data!$C:$I,$E187,MOD(ROW()-2,7)+1)</f>
        <v>8029</v>
      </c>
      <c r="D187" s="57" t="str">
        <f t="shared" si="8"/>
        <v>Jul 2025</v>
      </c>
      <c r="E187" s="39">
        <f t="shared" si="7"/>
        <v>28</v>
      </c>
    </row>
    <row r="188" spans="1:5" ht="25" customHeight="1" x14ac:dyDescent="0.15">
      <c r="A188" s="57" cm="1">
        <f t="array" ref="A188">INDEX(clean_weekly_data!$A:$A,$E188)+MOD(ROW()-2,7)</f>
        <v>45842</v>
      </c>
      <c r="B188" s="39" t="str">
        <f t="shared" si="6"/>
        <v>Friday</v>
      </c>
      <c r="C188" s="58" cm="1">
        <f t="array" ref="C188">INDEX(clean_weekly_data!$C:$I,$E188,MOD(ROW()-2,7)+1)</f>
        <v>0</v>
      </c>
      <c r="D188" s="57" t="str">
        <f t="shared" si="8"/>
        <v>Jul 2025</v>
      </c>
      <c r="E188" s="39">
        <f t="shared" si="7"/>
        <v>28</v>
      </c>
    </row>
    <row r="189" spans="1:5" ht="25" customHeight="1" x14ac:dyDescent="0.15">
      <c r="A189" s="57" cm="1">
        <f t="array" ref="A189">INDEX(clean_weekly_data!$A:$A,$E189)+MOD(ROW()-2,7)</f>
        <v>45843</v>
      </c>
      <c r="B189" s="39" t="str">
        <f t="shared" si="6"/>
        <v>Saturday</v>
      </c>
      <c r="C189" s="58" cm="1">
        <f t="array" ref="C189">INDEX(clean_weekly_data!$C:$I,$E189,MOD(ROW()-2,7)+1)</f>
        <v>12305</v>
      </c>
      <c r="D189" s="57" t="str">
        <f t="shared" si="8"/>
        <v>Jul 2025</v>
      </c>
      <c r="E189" s="39">
        <f t="shared" si="7"/>
        <v>28</v>
      </c>
    </row>
    <row r="190" spans="1:5" ht="25" customHeight="1" x14ac:dyDescent="0.15">
      <c r="A190" s="57" cm="1">
        <f t="array" ref="A190">INDEX(clean_weekly_data!$A:$A,$E190)+MOD(ROW()-2,7)</f>
        <v>45844</v>
      </c>
      <c r="B190" s="39" t="str">
        <f t="shared" si="6"/>
        <v>Sunday</v>
      </c>
      <c r="C190" s="58" cm="1">
        <f t="array" ref="C190">INDEX(clean_weekly_data!$C:$I,$E190,MOD(ROW()-2,7)+1)</f>
        <v>6869</v>
      </c>
      <c r="D190" s="57" t="str">
        <f t="shared" si="8"/>
        <v>Jul 2025</v>
      </c>
      <c r="E190" s="39">
        <f t="shared" si="7"/>
        <v>28</v>
      </c>
    </row>
    <row r="191" spans="1:5" ht="25" customHeight="1" x14ac:dyDescent="0.15">
      <c r="A191" s="57" cm="1">
        <f t="array" ref="A191">INDEX(clean_weekly_data!$A:$A,$E191)+MOD(ROW()-2,7)</f>
        <v>45845</v>
      </c>
      <c r="B191" s="39" t="str">
        <f t="shared" si="6"/>
        <v>Monday</v>
      </c>
      <c r="C191" s="58" cm="1">
        <f t="array" ref="C191">INDEX(clean_weekly_data!$C:$I,$E191,MOD(ROW()-2,7)+1)</f>
        <v>6764</v>
      </c>
      <c r="D191" s="57" t="str">
        <f t="shared" si="8"/>
        <v>Jul 2025</v>
      </c>
      <c r="E191" s="39">
        <f t="shared" si="7"/>
        <v>29</v>
      </c>
    </row>
    <row r="192" spans="1:5" ht="25" customHeight="1" x14ac:dyDescent="0.15">
      <c r="A192" s="57" cm="1">
        <f t="array" ref="A192">INDEX(clean_weekly_data!$A:$A,$E192)+MOD(ROW()-2,7)</f>
        <v>45846</v>
      </c>
      <c r="B192" s="39" t="str">
        <f t="shared" si="6"/>
        <v>Tuesday</v>
      </c>
      <c r="C192" s="58" cm="1">
        <f t="array" ref="C192">INDEX(clean_weekly_data!$C:$I,$E192,MOD(ROW()-2,7)+1)</f>
        <v>5309</v>
      </c>
      <c r="D192" s="57" t="str">
        <f t="shared" si="8"/>
        <v>Jul 2025</v>
      </c>
      <c r="E192" s="39">
        <f t="shared" si="7"/>
        <v>29</v>
      </c>
    </row>
    <row r="193" spans="1:5" ht="25" customHeight="1" x14ac:dyDescent="0.15">
      <c r="A193" s="57" cm="1">
        <f t="array" ref="A193">INDEX(clean_weekly_data!$A:$A,$E193)+MOD(ROW()-2,7)</f>
        <v>45847</v>
      </c>
      <c r="B193" s="39" t="str">
        <f t="shared" si="6"/>
        <v>Wednesday</v>
      </c>
      <c r="C193" s="58" cm="1">
        <f t="array" ref="C193">INDEX(clean_weekly_data!$C:$I,$E193,MOD(ROW()-2,7)+1)</f>
        <v>7278</v>
      </c>
      <c r="D193" s="57" t="str">
        <f t="shared" si="8"/>
        <v>Jul 2025</v>
      </c>
      <c r="E193" s="39">
        <f t="shared" si="7"/>
        <v>29</v>
      </c>
    </row>
    <row r="194" spans="1:5" ht="25" customHeight="1" x14ac:dyDescent="0.15">
      <c r="A194" s="57" cm="1">
        <f t="array" ref="A194">INDEX(clean_weekly_data!$A:$A,$E194)+MOD(ROW()-2,7)</f>
        <v>45848</v>
      </c>
      <c r="B194" s="39" t="str">
        <f t="shared" si="6"/>
        <v>Thursday</v>
      </c>
      <c r="C194" s="58" cm="1">
        <f t="array" ref="C194">INDEX(clean_weekly_data!$C:$I,$E194,MOD(ROW()-2,7)+1)</f>
        <v>5915</v>
      </c>
      <c r="D194" s="57" t="str">
        <f t="shared" si="8"/>
        <v>Jul 2025</v>
      </c>
      <c r="E194" s="39">
        <f t="shared" si="7"/>
        <v>29</v>
      </c>
    </row>
    <row r="195" spans="1:5" ht="25" customHeight="1" x14ac:dyDescent="0.15">
      <c r="A195" s="57" cm="1">
        <f t="array" ref="A195">INDEX(clean_weekly_data!$A:$A,$E195)+MOD(ROW()-2,7)</f>
        <v>45849</v>
      </c>
      <c r="B195" s="39" t="str">
        <f t="shared" ref="B195:B258" si="9">CHOOSE(MOD(ROW()-2,7)+1,"Monday","Tuesday","Wednesday","Thursday","Friday","Saturday","Sunday")</f>
        <v>Friday</v>
      </c>
      <c r="C195" s="58" cm="1">
        <f t="array" ref="C195">INDEX(clean_weekly_data!$C:$I,$E195,MOD(ROW()-2,7)+1)</f>
        <v>14449</v>
      </c>
      <c r="D195" s="57" t="str">
        <f t="shared" si="8"/>
        <v>Jul 2025</v>
      </c>
      <c r="E195" s="39">
        <f t="shared" ref="E195:E258" si="10">INT((ROW()-2)/7)+2</f>
        <v>29</v>
      </c>
    </row>
    <row r="196" spans="1:5" ht="25" customHeight="1" x14ac:dyDescent="0.15">
      <c r="A196" s="57" cm="1">
        <f t="array" ref="A196">INDEX(clean_weekly_data!$A:$A,$E196)+MOD(ROW()-2,7)</f>
        <v>45850</v>
      </c>
      <c r="B196" s="39" t="str">
        <f t="shared" si="9"/>
        <v>Saturday</v>
      </c>
      <c r="C196" s="58" cm="1">
        <f t="array" ref="C196">INDEX(clean_weekly_data!$C:$I,$E196,MOD(ROW()-2,7)+1)</f>
        <v>13112</v>
      </c>
      <c r="D196" s="57" t="str">
        <f t="shared" si="8"/>
        <v>Jul 2025</v>
      </c>
      <c r="E196" s="39">
        <f t="shared" si="10"/>
        <v>29</v>
      </c>
    </row>
    <row r="197" spans="1:5" ht="25" customHeight="1" x14ac:dyDescent="0.15">
      <c r="A197" s="57" cm="1">
        <f t="array" ref="A197">INDEX(clean_weekly_data!$A:$A,$E197)+MOD(ROW()-2,7)</f>
        <v>45851</v>
      </c>
      <c r="B197" s="39" t="str">
        <f t="shared" si="9"/>
        <v>Sunday</v>
      </c>
      <c r="C197" s="58" cm="1">
        <f t="array" ref="C197">INDEX(clean_weekly_data!$C:$I,$E197,MOD(ROW()-2,7)+1)</f>
        <v>11000</v>
      </c>
      <c r="D197" s="57" t="str">
        <f t="shared" si="8"/>
        <v>Jul 2025</v>
      </c>
      <c r="E197" s="39">
        <f t="shared" si="10"/>
        <v>29</v>
      </c>
    </row>
    <row r="198" spans="1:5" ht="25" customHeight="1" x14ac:dyDescent="0.15">
      <c r="A198" s="57" cm="1">
        <f t="array" ref="A198">INDEX(clean_weekly_data!$A:$A,$E198)+MOD(ROW()-2,7)</f>
        <v>45852</v>
      </c>
      <c r="B198" s="39" t="str">
        <f t="shared" si="9"/>
        <v>Monday</v>
      </c>
      <c r="C198" s="58" cm="1">
        <f t="array" ref="C198">INDEX(clean_weekly_data!$C:$I,$E198,MOD(ROW()-2,7)+1)</f>
        <v>5011</v>
      </c>
      <c r="D198" s="57" t="str">
        <f t="shared" si="8"/>
        <v>Jul 2025</v>
      </c>
      <c r="E198" s="39">
        <f t="shared" si="10"/>
        <v>30</v>
      </c>
    </row>
    <row r="199" spans="1:5" ht="25" customHeight="1" x14ac:dyDescent="0.15">
      <c r="A199" s="57" cm="1">
        <f t="array" ref="A199">INDEX(clean_weekly_data!$A:$A,$E199)+MOD(ROW()-2,7)</f>
        <v>45853</v>
      </c>
      <c r="B199" s="39" t="str">
        <f t="shared" si="9"/>
        <v>Tuesday</v>
      </c>
      <c r="C199" s="58" cm="1">
        <f t="array" ref="C199">INDEX(clean_weekly_data!$C:$I,$E199,MOD(ROW()-2,7)+1)</f>
        <v>5817</v>
      </c>
      <c r="D199" s="57" t="str">
        <f t="shared" si="8"/>
        <v>Jul 2025</v>
      </c>
      <c r="E199" s="39">
        <f t="shared" si="10"/>
        <v>30</v>
      </c>
    </row>
    <row r="200" spans="1:5" ht="25" customHeight="1" x14ac:dyDescent="0.15">
      <c r="A200" s="57" cm="1">
        <f t="array" ref="A200">INDEX(clean_weekly_data!$A:$A,$E200)+MOD(ROW()-2,7)</f>
        <v>45854</v>
      </c>
      <c r="B200" s="39" t="str">
        <f t="shared" si="9"/>
        <v>Wednesday</v>
      </c>
      <c r="C200" s="58" cm="1">
        <f t="array" ref="C200">INDEX(clean_weekly_data!$C:$I,$E200,MOD(ROW()-2,7)+1)</f>
        <v>5543</v>
      </c>
      <c r="D200" s="57" t="str">
        <f t="shared" si="8"/>
        <v>Jul 2025</v>
      </c>
      <c r="E200" s="39">
        <f t="shared" si="10"/>
        <v>30</v>
      </c>
    </row>
    <row r="201" spans="1:5" ht="25" customHeight="1" x14ac:dyDescent="0.15">
      <c r="A201" s="57" cm="1">
        <f t="array" ref="A201">INDEX(clean_weekly_data!$A:$A,$E201)+MOD(ROW()-2,7)</f>
        <v>45855</v>
      </c>
      <c r="B201" s="39" t="str">
        <f t="shared" si="9"/>
        <v>Thursday</v>
      </c>
      <c r="C201" s="58" cm="1">
        <f t="array" ref="C201">INDEX(clean_weekly_data!$C:$I,$E201,MOD(ROW()-2,7)+1)</f>
        <v>6711</v>
      </c>
      <c r="D201" s="57" t="str">
        <f t="shared" si="8"/>
        <v>Jul 2025</v>
      </c>
      <c r="E201" s="39">
        <f t="shared" si="10"/>
        <v>30</v>
      </c>
    </row>
    <row r="202" spans="1:5" ht="25" customHeight="1" x14ac:dyDescent="0.15">
      <c r="A202" s="57" cm="1">
        <f t="array" ref="A202">INDEX(clean_weekly_data!$A:$A,$E202)+MOD(ROW()-2,7)</f>
        <v>45856</v>
      </c>
      <c r="B202" s="39" t="str">
        <f t="shared" si="9"/>
        <v>Friday</v>
      </c>
      <c r="C202" s="58" cm="1">
        <f t="array" ref="C202">INDEX(clean_weekly_data!$C:$I,$E202,MOD(ROW()-2,7)+1)</f>
        <v>16873</v>
      </c>
      <c r="D202" s="57" t="str">
        <f t="shared" si="8"/>
        <v>Jul 2025</v>
      </c>
      <c r="E202" s="39">
        <f t="shared" si="10"/>
        <v>30</v>
      </c>
    </row>
    <row r="203" spans="1:5" ht="25" customHeight="1" x14ac:dyDescent="0.15">
      <c r="A203" s="57" cm="1">
        <f t="array" ref="A203">INDEX(clean_weekly_data!$A:$A,$E203)+MOD(ROW()-2,7)</f>
        <v>45857</v>
      </c>
      <c r="B203" s="39" t="str">
        <f t="shared" si="9"/>
        <v>Saturday</v>
      </c>
      <c r="C203" s="58" cm="1">
        <f t="array" ref="C203">INDEX(clean_weekly_data!$C:$I,$E203,MOD(ROW()-2,7)+1)</f>
        <v>13415</v>
      </c>
      <c r="D203" s="57" t="str">
        <f t="shared" si="8"/>
        <v>Jul 2025</v>
      </c>
      <c r="E203" s="39">
        <f t="shared" si="10"/>
        <v>30</v>
      </c>
    </row>
    <row r="204" spans="1:5" ht="25" customHeight="1" x14ac:dyDescent="0.15">
      <c r="A204" s="57" cm="1">
        <f t="array" ref="A204">INDEX(clean_weekly_data!$A:$A,$E204)+MOD(ROW()-2,7)</f>
        <v>45858</v>
      </c>
      <c r="B204" s="39" t="str">
        <f t="shared" si="9"/>
        <v>Sunday</v>
      </c>
      <c r="C204" s="58" cm="1">
        <f t="array" ref="C204">INDEX(clean_weekly_data!$C:$I,$E204,MOD(ROW()-2,7)+1)</f>
        <v>6479</v>
      </c>
      <c r="D204" s="57" t="str">
        <f t="shared" si="8"/>
        <v>Jul 2025</v>
      </c>
      <c r="E204" s="39">
        <f t="shared" si="10"/>
        <v>30</v>
      </c>
    </row>
    <row r="205" spans="1:5" ht="25" customHeight="1" x14ac:dyDescent="0.15">
      <c r="A205" s="57" cm="1">
        <f t="array" ref="A205">INDEX(clean_weekly_data!$A:$A,$E205)+MOD(ROW()-2,7)</f>
        <v>45859</v>
      </c>
      <c r="B205" s="39" t="str">
        <f t="shared" si="9"/>
        <v>Monday</v>
      </c>
      <c r="C205" s="58" cm="1">
        <f t="array" ref="C205">INDEX(clean_weekly_data!$C:$I,$E205,MOD(ROW()-2,7)+1)</f>
        <v>6081</v>
      </c>
      <c r="D205" s="57" t="str">
        <f t="shared" si="8"/>
        <v>Jul 2025</v>
      </c>
      <c r="E205" s="39">
        <f t="shared" si="10"/>
        <v>31</v>
      </c>
    </row>
    <row r="206" spans="1:5" ht="25" customHeight="1" x14ac:dyDescent="0.15">
      <c r="A206" s="57" cm="1">
        <f t="array" ref="A206">INDEX(clean_weekly_data!$A:$A,$E206)+MOD(ROW()-2,7)</f>
        <v>45860</v>
      </c>
      <c r="B206" s="39" t="str">
        <f t="shared" si="9"/>
        <v>Tuesday</v>
      </c>
      <c r="C206" s="58" cm="1">
        <f t="array" ref="C206">INDEX(clean_weekly_data!$C:$I,$E206,MOD(ROW()-2,7)+1)</f>
        <v>5745</v>
      </c>
      <c r="D206" s="57" t="str">
        <f t="shared" si="8"/>
        <v>Jul 2025</v>
      </c>
      <c r="E206" s="39">
        <f t="shared" si="10"/>
        <v>31</v>
      </c>
    </row>
    <row r="207" spans="1:5" ht="25" customHeight="1" x14ac:dyDescent="0.15">
      <c r="A207" s="57" cm="1">
        <f t="array" ref="A207">INDEX(clean_weekly_data!$A:$A,$E207)+MOD(ROW()-2,7)</f>
        <v>45861</v>
      </c>
      <c r="B207" s="39" t="str">
        <f t="shared" si="9"/>
        <v>Wednesday</v>
      </c>
      <c r="C207" s="58" cm="1">
        <f t="array" ref="C207">INDEX(clean_weekly_data!$C:$I,$E207,MOD(ROW()-2,7)+1)</f>
        <v>7414</v>
      </c>
      <c r="D207" s="57" t="str">
        <f t="shared" si="8"/>
        <v>Jul 2025</v>
      </c>
      <c r="E207" s="39">
        <f t="shared" si="10"/>
        <v>31</v>
      </c>
    </row>
    <row r="208" spans="1:5" ht="25" customHeight="1" x14ac:dyDescent="0.15">
      <c r="A208" s="57" cm="1">
        <f t="array" ref="A208">INDEX(clean_weekly_data!$A:$A,$E208)+MOD(ROW()-2,7)</f>
        <v>45862</v>
      </c>
      <c r="B208" s="39" t="str">
        <f t="shared" si="9"/>
        <v>Thursday</v>
      </c>
      <c r="C208" s="58" cm="1">
        <f t="array" ref="C208">INDEX(clean_weekly_data!$C:$I,$E208,MOD(ROW()-2,7)+1)</f>
        <v>6358</v>
      </c>
      <c r="D208" s="57" t="str">
        <f t="shared" si="8"/>
        <v>Jul 2025</v>
      </c>
      <c r="E208" s="39">
        <f t="shared" si="10"/>
        <v>31</v>
      </c>
    </row>
    <row r="209" spans="1:5" ht="25" customHeight="1" x14ac:dyDescent="0.15">
      <c r="A209" s="57" cm="1">
        <f t="array" ref="A209">INDEX(clean_weekly_data!$A:$A,$E209)+MOD(ROW()-2,7)</f>
        <v>45863</v>
      </c>
      <c r="B209" s="39" t="str">
        <f t="shared" si="9"/>
        <v>Friday</v>
      </c>
      <c r="C209" s="58" cm="1">
        <f t="array" ref="C209">INDEX(clean_weekly_data!$C:$I,$E209,MOD(ROW()-2,7)+1)</f>
        <v>13744</v>
      </c>
      <c r="D209" s="57" t="str">
        <f t="shared" si="8"/>
        <v>Jul 2025</v>
      </c>
      <c r="E209" s="39">
        <f t="shared" si="10"/>
        <v>31</v>
      </c>
    </row>
    <row r="210" spans="1:5" ht="25" customHeight="1" x14ac:dyDescent="0.15">
      <c r="A210" s="57" cm="1">
        <f t="array" ref="A210">INDEX(clean_weekly_data!$A:$A,$E210)+MOD(ROW()-2,7)</f>
        <v>45864</v>
      </c>
      <c r="B210" s="39" t="str">
        <f t="shared" si="9"/>
        <v>Saturday</v>
      </c>
      <c r="C210" s="58" cm="1">
        <f t="array" ref="C210">INDEX(clean_weekly_data!$C:$I,$E210,MOD(ROW()-2,7)+1)</f>
        <v>14022</v>
      </c>
      <c r="D210" s="57" t="str">
        <f t="shared" si="8"/>
        <v>Jul 2025</v>
      </c>
      <c r="E210" s="39">
        <f t="shared" si="10"/>
        <v>31</v>
      </c>
    </row>
    <row r="211" spans="1:5" ht="25" customHeight="1" x14ac:dyDescent="0.15">
      <c r="A211" s="57" cm="1">
        <f t="array" ref="A211">INDEX(clean_weekly_data!$A:$A,$E211)+MOD(ROW()-2,7)</f>
        <v>45865</v>
      </c>
      <c r="B211" s="39" t="str">
        <f t="shared" si="9"/>
        <v>Sunday</v>
      </c>
      <c r="C211" s="58" cm="1">
        <f t="array" ref="C211">INDEX(clean_weekly_data!$C:$I,$E211,MOD(ROW()-2,7)+1)</f>
        <v>6742</v>
      </c>
      <c r="D211" s="57" t="str">
        <f t="shared" si="8"/>
        <v>Jul 2025</v>
      </c>
      <c r="E211" s="39">
        <f t="shared" si="10"/>
        <v>31</v>
      </c>
    </row>
    <row r="212" spans="1:5" ht="25" customHeight="1" x14ac:dyDescent="0.15">
      <c r="A212" s="57" cm="1">
        <f t="array" ref="A212">INDEX(clean_weekly_data!$A:$A,$E212)+MOD(ROW()-2,7)</f>
        <v>45866</v>
      </c>
      <c r="B212" s="39" t="str">
        <f t="shared" si="9"/>
        <v>Monday</v>
      </c>
      <c r="C212" s="58" cm="1">
        <f t="array" ref="C212">INDEX(clean_weekly_data!$C:$I,$E212,MOD(ROW()-2,7)+1)</f>
        <v>3918</v>
      </c>
      <c r="D212" s="57" t="str">
        <f t="shared" si="8"/>
        <v>Jul 2025</v>
      </c>
      <c r="E212" s="39">
        <f t="shared" si="10"/>
        <v>32</v>
      </c>
    </row>
    <row r="213" spans="1:5" ht="25" customHeight="1" x14ac:dyDescent="0.15">
      <c r="A213" s="57" cm="1">
        <f t="array" ref="A213">INDEX(clean_weekly_data!$A:$A,$E213)+MOD(ROW()-2,7)</f>
        <v>45867</v>
      </c>
      <c r="B213" s="39" t="str">
        <f t="shared" si="9"/>
        <v>Tuesday</v>
      </c>
      <c r="C213" s="58" cm="1">
        <f t="array" ref="C213">INDEX(clean_weekly_data!$C:$I,$E213,MOD(ROW()-2,7)+1)</f>
        <v>7936</v>
      </c>
      <c r="D213" s="57" t="str">
        <f t="shared" si="8"/>
        <v>Jul 2025</v>
      </c>
      <c r="E213" s="39">
        <f t="shared" si="10"/>
        <v>32</v>
      </c>
    </row>
    <row r="214" spans="1:5" ht="25" customHeight="1" x14ac:dyDescent="0.15">
      <c r="A214" s="57" cm="1">
        <f t="array" ref="A214">INDEX(clean_weekly_data!$A:$A,$E214)+MOD(ROW()-2,7)</f>
        <v>45868</v>
      </c>
      <c r="B214" s="39" t="str">
        <f t="shared" si="9"/>
        <v>Wednesday</v>
      </c>
      <c r="C214" s="58" cm="1">
        <f t="array" ref="C214">INDEX(clean_weekly_data!$C:$I,$E214,MOD(ROW()-2,7)+1)</f>
        <v>6008</v>
      </c>
      <c r="D214" s="57" t="str">
        <f t="shared" si="8"/>
        <v>Jul 2025</v>
      </c>
      <c r="E214" s="39">
        <f t="shared" si="10"/>
        <v>32</v>
      </c>
    </row>
    <row r="215" spans="1:5" ht="25" customHeight="1" x14ac:dyDescent="0.15">
      <c r="A215" s="57" cm="1">
        <f t="array" ref="A215">INDEX(clean_weekly_data!$A:$A,$E215)+MOD(ROW()-2,7)</f>
        <v>45869</v>
      </c>
      <c r="B215" s="39" t="str">
        <f t="shared" si="9"/>
        <v>Thursday</v>
      </c>
      <c r="C215" s="58" cm="1">
        <f t="array" ref="C215">INDEX(clean_weekly_data!$C:$I,$E215,MOD(ROW()-2,7)+1)</f>
        <v>9240</v>
      </c>
      <c r="D215" s="57" t="str">
        <f t="shared" si="8"/>
        <v>Jul 2025</v>
      </c>
      <c r="E215" s="39">
        <f t="shared" si="10"/>
        <v>32</v>
      </c>
    </row>
    <row r="216" spans="1:5" ht="25" customHeight="1" x14ac:dyDescent="0.15">
      <c r="A216" s="57" cm="1">
        <f t="array" ref="A216">INDEX(clean_weekly_data!$A:$A,$E216)+MOD(ROW()-2,7)</f>
        <v>45870</v>
      </c>
      <c r="B216" s="39" t="str">
        <f t="shared" si="9"/>
        <v>Friday</v>
      </c>
      <c r="C216" s="58" cm="1">
        <f t="array" ref="C216">INDEX(clean_weekly_data!$C:$I,$E216,MOD(ROW()-2,7)+1)</f>
        <v>11730</v>
      </c>
      <c r="D216" s="57" t="str">
        <f t="shared" si="8"/>
        <v>Aug 2025</v>
      </c>
      <c r="E216" s="39">
        <f t="shared" si="10"/>
        <v>32</v>
      </c>
    </row>
    <row r="217" spans="1:5" ht="25" customHeight="1" x14ac:dyDescent="0.15">
      <c r="A217" s="57" cm="1">
        <f t="array" ref="A217">INDEX(clean_weekly_data!$A:$A,$E217)+MOD(ROW()-2,7)</f>
        <v>45871</v>
      </c>
      <c r="B217" s="39" t="str">
        <f t="shared" si="9"/>
        <v>Saturday</v>
      </c>
      <c r="C217" s="58" cm="1">
        <f t="array" ref="C217">INDEX(clean_weekly_data!$C:$I,$E217,MOD(ROW()-2,7)+1)</f>
        <v>15364</v>
      </c>
      <c r="D217" s="57" t="str">
        <f t="shared" si="8"/>
        <v>Aug 2025</v>
      </c>
      <c r="E217" s="39">
        <f t="shared" si="10"/>
        <v>32</v>
      </c>
    </row>
    <row r="218" spans="1:5" ht="25" customHeight="1" x14ac:dyDescent="0.15">
      <c r="A218" s="57" cm="1">
        <f t="array" ref="A218">INDEX(clean_weekly_data!$A:$A,$E218)+MOD(ROW()-2,7)</f>
        <v>45872</v>
      </c>
      <c r="B218" s="39" t="str">
        <f t="shared" si="9"/>
        <v>Sunday</v>
      </c>
      <c r="C218" s="58" cm="1">
        <f t="array" ref="C218">INDEX(clean_weekly_data!$C:$I,$E218,MOD(ROW()-2,7)+1)</f>
        <v>10282</v>
      </c>
      <c r="D218" s="57" t="str">
        <f t="shared" si="8"/>
        <v>Aug 2025</v>
      </c>
      <c r="E218" s="39">
        <f t="shared" si="10"/>
        <v>32</v>
      </c>
    </row>
    <row r="219" spans="1:5" ht="25" customHeight="1" x14ac:dyDescent="0.15">
      <c r="A219" s="57" cm="1">
        <f t="array" ref="A219">INDEX(clean_weekly_data!$A:$A,$E219)+MOD(ROW()-2,7)</f>
        <v>45873</v>
      </c>
      <c r="B219" s="39" t="str">
        <f t="shared" si="9"/>
        <v>Monday</v>
      </c>
      <c r="C219" s="58" cm="1">
        <f t="array" ref="C219">INDEX(clean_weekly_data!$C:$I,$E219,MOD(ROW()-2,7)+1)</f>
        <v>6073</v>
      </c>
      <c r="D219" s="57" t="str">
        <f t="shared" si="8"/>
        <v>Aug 2025</v>
      </c>
      <c r="E219" s="39">
        <f t="shared" si="10"/>
        <v>33</v>
      </c>
    </row>
    <row r="220" spans="1:5" ht="25" customHeight="1" x14ac:dyDescent="0.15">
      <c r="A220" s="57" cm="1">
        <f t="array" ref="A220">INDEX(clean_weekly_data!$A:$A,$E220)+MOD(ROW()-2,7)</f>
        <v>45874</v>
      </c>
      <c r="B220" s="39" t="str">
        <f t="shared" si="9"/>
        <v>Tuesday</v>
      </c>
      <c r="C220" s="58" cm="1">
        <f t="array" ref="C220">INDEX(clean_weekly_data!$C:$I,$E220,MOD(ROW()-2,7)+1)</f>
        <v>5708</v>
      </c>
      <c r="D220" s="57" t="str">
        <f t="shared" si="8"/>
        <v>Aug 2025</v>
      </c>
      <c r="E220" s="39">
        <f t="shared" si="10"/>
        <v>33</v>
      </c>
    </row>
    <row r="221" spans="1:5" ht="25" customHeight="1" x14ac:dyDescent="0.15">
      <c r="A221" s="57" cm="1">
        <f t="array" ref="A221">INDEX(clean_weekly_data!$A:$A,$E221)+MOD(ROW()-2,7)</f>
        <v>45875</v>
      </c>
      <c r="B221" s="39" t="str">
        <f t="shared" si="9"/>
        <v>Wednesday</v>
      </c>
      <c r="C221" s="58" cm="1">
        <f t="array" ref="C221">INDEX(clean_weekly_data!$C:$I,$E221,MOD(ROW()-2,7)+1)</f>
        <v>6711</v>
      </c>
      <c r="D221" s="57" t="str">
        <f t="shared" si="8"/>
        <v>Aug 2025</v>
      </c>
      <c r="E221" s="39">
        <f t="shared" si="10"/>
        <v>33</v>
      </c>
    </row>
    <row r="222" spans="1:5" ht="25" customHeight="1" x14ac:dyDescent="0.15">
      <c r="A222" s="57" cm="1">
        <f t="array" ref="A222">INDEX(clean_weekly_data!$A:$A,$E222)+MOD(ROW()-2,7)</f>
        <v>45876</v>
      </c>
      <c r="B222" s="39" t="str">
        <f t="shared" si="9"/>
        <v>Thursday</v>
      </c>
      <c r="C222" s="58" cm="1">
        <f t="array" ref="C222">INDEX(clean_weekly_data!$C:$I,$E222,MOD(ROW()-2,7)+1)</f>
        <v>8123</v>
      </c>
      <c r="D222" s="57" t="str">
        <f t="shared" si="8"/>
        <v>Aug 2025</v>
      </c>
      <c r="E222" s="39">
        <f t="shared" si="10"/>
        <v>33</v>
      </c>
    </row>
    <row r="223" spans="1:5" ht="25" customHeight="1" x14ac:dyDescent="0.15">
      <c r="A223" s="57" cm="1">
        <f t="array" ref="A223">INDEX(clean_weekly_data!$A:$A,$E223)+MOD(ROW()-2,7)</f>
        <v>45877</v>
      </c>
      <c r="B223" s="39" t="str">
        <f t="shared" si="9"/>
        <v>Friday</v>
      </c>
      <c r="C223" s="58" cm="1">
        <f t="array" ref="C223">INDEX(clean_weekly_data!$C:$I,$E223,MOD(ROW()-2,7)+1)</f>
        <v>13972</v>
      </c>
      <c r="D223" s="57" t="str">
        <f t="shared" si="8"/>
        <v>Aug 2025</v>
      </c>
      <c r="E223" s="39">
        <f t="shared" si="10"/>
        <v>33</v>
      </c>
    </row>
    <row r="224" spans="1:5" ht="25" customHeight="1" x14ac:dyDescent="0.15">
      <c r="A224" s="57" cm="1">
        <f t="array" ref="A224">INDEX(clean_weekly_data!$A:$A,$E224)+MOD(ROW()-2,7)</f>
        <v>45878</v>
      </c>
      <c r="B224" s="39" t="str">
        <f t="shared" si="9"/>
        <v>Saturday</v>
      </c>
      <c r="C224" s="58" cm="1">
        <f t="array" ref="C224">INDEX(clean_weekly_data!$C:$I,$E224,MOD(ROW()-2,7)+1)</f>
        <v>15070</v>
      </c>
      <c r="D224" s="57" t="str">
        <f t="shared" si="8"/>
        <v>Aug 2025</v>
      </c>
      <c r="E224" s="39">
        <f t="shared" si="10"/>
        <v>33</v>
      </c>
    </row>
    <row r="225" spans="1:5" ht="25" customHeight="1" x14ac:dyDescent="0.15">
      <c r="A225" s="57" cm="1">
        <f t="array" ref="A225">INDEX(clean_weekly_data!$A:$A,$E225)+MOD(ROW()-2,7)</f>
        <v>45879</v>
      </c>
      <c r="B225" s="39" t="str">
        <f t="shared" si="9"/>
        <v>Sunday</v>
      </c>
      <c r="C225" s="58" cm="1">
        <f t="array" ref="C225">INDEX(clean_weekly_data!$C:$I,$E225,MOD(ROW()-2,7)+1)</f>
        <v>8652</v>
      </c>
      <c r="D225" s="57" t="str">
        <f t="shared" si="8"/>
        <v>Aug 2025</v>
      </c>
      <c r="E225" s="39">
        <f t="shared" si="10"/>
        <v>33</v>
      </c>
    </row>
    <row r="226" spans="1:5" ht="25" customHeight="1" x14ac:dyDescent="0.15">
      <c r="A226" s="57" cm="1">
        <f t="array" ref="A226">INDEX(clean_weekly_data!$A:$A,$E226)+MOD(ROW()-2,7)</f>
        <v>45880</v>
      </c>
      <c r="B226" s="39" t="str">
        <f t="shared" si="9"/>
        <v>Monday</v>
      </c>
      <c r="C226" s="58" cm="1">
        <f t="array" ref="C226">INDEX(clean_weekly_data!$C:$I,$E226,MOD(ROW()-2,7)+1)</f>
        <v>5197</v>
      </c>
      <c r="D226" s="57" t="str">
        <f t="shared" si="8"/>
        <v>Aug 2025</v>
      </c>
      <c r="E226" s="39">
        <f t="shared" si="10"/>
        <v>34</v>
      </c>
    </row>
    <row r="227" spans="1:5" ht="25" customHeight="1" x14ac:dyDescent="0.15">
      <c r="A227" s="57" cm="1">
        <f t="array" ref="A227">INDEX(clean_weekly_data!$A:$A,$E227)+MOD(ROW()-2,7)</f>
        <v>45881</v>
      </c>
      <c r="B227" s="39" t="str">
        <f t="shared" si="9"/>
        <v>Tuesday</v>
      </c>
      <c r="C227" s="58" cm="1">
        <f t="array" ref="C227">INDEX(clean_weekly_data!$C:$I,$E227,MOD(ROW()-2,7)+1)</f>
        <v>5086</v>
      </c>
      <c r="D227" s="57" t="str">
        <f t="shared" si="8"/>
        <v>Aug 2025</v>
      </c>
      <c r="E227" s="39">
        <f t="shared" si="10"/>
        <v>34</v>
      </c>
    </row>
    <row r="228" spans="1:5" ht="25" customHeight="1" x14ac:dyDescent="0.15">
      <c r="A228" s="57" cm="1">
        <f t="array" ref="A228">INDEX(clean_weekly_data!$A:$A,$E228)+MOD(ROW()-2,7)</f>
        <v>45882</v>
      </c>
      <c r="B228" s="39" t="str">
        <f t="shared" si="9"/>
        <v>Wednesday</v>
      </c>
      <c r="C228" s="58" cm="1">
        <f t="array" ref="C228">INDEX(clean_weekly_data!$C:$I,$E228,MOD(ROW()-2,7)+1)</f>
        <v>6911</v>
      </c>
      <c r="D228" s="57" t="str">
        <f t="shared" si="8"/>
        <v>Aug 2025</v>
      </c>
      <c r="E228" s="39">
        <f t="shared" si="10"/>
        <v>34</v>
      </c>
    </row>
    <row r="229" spans="1:5" ht="25" customHeight="1" x14ac:dyDescent="0.15">
      <c r="A229" s="57" cm="1">
        <f t="array" ref="A229">INDEX(clean_weekly_data!$A:$A,$E229)+MOD(ROW()-2,7)</f>
        <v>45883</v>
      </c>
      <c r="B229" s="39" t="str">
        <f t="shared" si="9"/>
        <v>Thursday</v>
      </c>
      <c r="C229" s="58" cm="1">
        <f t="array" ref="C229">INDEX(clean_weekly_data!$C:$I,$E229,MOD(ROW()-2,7)+1)</f>
        <v>6886</v>
      </c>
      <c r="D229" s="57" t="str">
        <f t="shared" ref="D229:D292" si="11">TEXT(A229,"mmm yyyy")</f>
        <v>Aug 2025</v>
      </c>
      <c r="E229" s="39">
        <f t="shared" si="10"/>
        <v>34</v>
      </c>
    </row>
    <row r="230" spans="1:5" ht="25" customHeight="1" x14ac:dyDescent="0.15">
      <c r="A230" s="57" cm="1">
        <f t="array" ref="A230">INDEX(clean_weekly_data!$A:$A,$E230)+MOD(ROW()-2,7)</f>
        <v>45884</v>
      </c>
      <c r="B230" s="39" t="str">
        <f t="shared" si="9"/>
        <v>Friday</v>
      </c>
      <c r="C230" s="58" cm="1">
        <f t="array" ref="C230">INDEX(clean_weekly_data!$C:$I,$E230,MOD(ROW()-2,7)+1)</f>
        <v>13693</v>
      </c>
      <c r="D230" s="57" t="str">
        <f t="shared" si="11"/>
        <v>Aug 2025</v>
      </c>
      <c r="E230" s="39">
        <f t="shared" si="10"/>
        <v>34</v>
      </c>
    </row>
    <row r="231" spans="1:5" ht="25" customHeight="1" x14ac:dyDescent="0.15">
      <c r="A231" s="57" cm="1">
        <f t="array" ref="A231">INDEX(clean_weekly_data!$A:$A,$E231)+MOD(ROW()-2,7)</f>
        <v>45885</v>
      </c>
      <c r="B231" s="39" t="str">
        <f t="shared" si="9"/>
        <v>Saturday</v>
      </c>
      <c r="C231" s="58" cm="1">
        <f t="array" ref="C231">INDEX(clean_weekly_data!$C:$I,$E231,MOD(ROW()-2,7)+1)</f>
        <v>14804</v>
      </c>
      <c r="D231" s="57" t="str">
        <f t="shared" si="11"/>
        <v>Aug 2025</v>
      </c>
      <c r="E231" s="39">
        <f t="shared" si="10"/>
        <v>34</v>
      </c>
    </row>
    <row r="232" spans="1:5" ht="25" customHeight="1" x14ac:dyDescent="0.15">
      <c r="A232" s="57" cm="1">
        <f t="array" ref="A232">INDEX(clean_weekly_data!$A:$A,$E232)+MOD(ROW()-2,7)</f>
        <v>45886</v>
      </c>
      <c r="B232" s="39" t="str">
        <f t="shared" si="9"/>
        <v>Sunday</v>
      </c>
      <c r="C232" s="58" cm="1">
        <f t="array" ref="C232">INDEX(clean_weekly_data!$C:$I,$E232,MOD(ROW()-2,7)+1)</f>
        <v>7394</v>
      </c>
      <c r="D232" s="57" t="str">
        <f t="shared" si="11"/>
        <v>Aug 2025</v>
      </c>
      <c r="E232" s="39">
        <f t="shared" si="10"/>
        <v>34</v>
      </c>
    </row>
    <row r="233" spans="1:5" ht="25" customHeight="1" x14ac:dyDescent="0.15">
      <c r="A233" s="57" cm="1">
        <f t="array" ref="A233">INDEX(clean_weekly_data!$A:$A,$E233)+MOD(ROW()-2,7)</f>
        <v>45887</v>
      </c>
      <c r="B233" s="39" t="str">
        <f t="shared" si="9"/>
        <v>Monday</v>
      </c>
      <c r="C233" s="58" cm="1">
        <f t="array" ref="C233">INDEX(clean_weekly_data!$C:$I,$E233,MOD(ROW()-2,7)+1)</f>
        <v>3575</v>
      </c>
      <c r="D233" s="57" t="str">
        <f t="shared" si="11"/>
        <v>Aug 2025</v>
      </c>
      <c r="E233" s="39">
        <f t="shared" si="10"/>
        <v>35</v>
      </c>
    </row>
    <row r="234" spans="1:5" ht="25" customHeight="1" x14ac:dyDescent="0.15">
      <c r="A234" s="57" cm="1">
        <f t="array" ref="A234">INDEX(clean_weekly_data!$A:$A,$E234)+MOD(ROW()-2,7)</f>
        <v>45888</v>
      </c>
      <c r="B234" s="39" t="str">
        <f t="shared" si="9"/>
        <v>Tuesday</v>
      </c>
      <c r="C234" s="58" cm="1">
        <f t="array" ref="C234">INDEX(clean_weekly_data!$C:$I,$E234,MOD(ROW()-2,7)+1)</f>
        <v>4779</v>
      </c>
      <c r="D234" s="57" t="str">
        <f t="shared" si="11"/>
        <v>Aug 2025</v>
      </c>
      <c r="E234" s="39">
        <f t="shared" si="10"/>
        <v>35</v>
      </c>
    </row>
    <row r="235" spans="1:5" ht="25" customHeight="1" x14ac:dyDescent="0.15">
      <c r="A235" s="57" cm="1">
        <f t="array" ref="A235">INDEX(clean_weekly_data!$A:$A,$E235)+MOD(ROW()-2,7)</f>
        <v>45889</v>
      </c>
      <c r="B235" s="39" t="str">
        <f t="shared" si="9"/>
        <v>Wednesday</v>
      </c>
      <c r="C235" s="58" cm="1">
        <f t="array" ref="C235">INDEX(clean_weekly_data!$C:$I,$E235,MOD(ROW()-2,7)+1)</f>
        <v>5661</v>
      </c>
      <c r="D235" s="57" t="str">
        <f t="shared" si="11"/>
        <v>Aug 2025</v>
      </c>
      <c r="E235" s="39">
        <f t="shared" si="10"/>
        <v>35</v>
      </c>
    </row>
    <row r="236" spans="1:5" ht="25" customHeight="1" x14ac:dyDescent="0.15">
      <c r="A236" s="57" cm="1">
        <f t="array" ref="A236">INDEX(clean_weekly_data!$A:$A,$E236)+MOD(ROW()-2,7)</f>
        <v>45890</v>
      </c>
      <c r="B236" s="39" t="str">
        <f t="shared" si="9"/>
        <v>Thursday</v>
      </c>
      <c r="C236" s="58" cm="1">
        <f t="array" ref="C236">INDEX(clean_weekly_data!$C:$I,$E236,MOD(ROW()-2,7)+1)</f>
        <v>6342</v>
      </c>
      <c r="D236" s="57" t="str">
        <f t="shared" si="11"/>
        <v>Aug 2025</v>
      </c>
      <c r="E236" s="39">
        <f t="shared" si="10"/>
        <v>35</v>
      </c>
    </row>
    <row r="237" spans="1:5" ht="25" customHeight="1" x14ac:dyDescent="0.15">
      <c r="A237" s="57" cm="1">
        <f t="array" ref="A237">INDEX(clean_weekly_data!$A:$A,$E237)+MOD(ROW()-2,7)</f>
        <v>45891</v>
      </c>
      <c r="B237" s="39" t="str">
        <f t="shared" si="9"/>
        <v>Friday</v>
      </c>
      <c r="C237" s="58" cm="1">
        <f t="array" ref="C237">INDEX(clean_weekly_data!$C:$I,$E237,MOD(ROW()-2,7)+1)</f>
        <v>15975</v>
      </c>
      <c r="D237" s="57" t="str">
        <f t="shared" si="11"/>
        <v>Aug 2025</v>
      </c>
      <c r="E237" s="39">
        <f t="shared" si="10"/>
        <v>35</v>
      </c>
    </row>
    <row r="238" spans="1:5" ht="25" customHeight="1" x14ac:dyDescent="0.15">
      <c r="A238" s="57" cm="1">
        <f t="array" ref="A238">INDEX(clean_weekly_data!$A:$A,$E238)+MOD(ROW()-2,7)</f>
        <v>45892</v>
      </c>
      <c r="B238" s="39" t="str">
        <f t="shared" si="9"/>
        <v>Saturday</v>
      </c>
      <c r="C238" s="58" cm="1">
        <f t="array" ref="C238">INDEX(clean_weekly_data!$C:$I,$E238,MOD(ROW()-2,7)+1)</f>
        <v>16131</v>
      </c>
      <c r="D238" s="57" t="str">
        <f t="shared" si="11"/>
        <v>Aug 2025</v>
      </c>
      <c r="E238" s="39">
        <f t="shared" si="10"/>
        <v>35</v>
      </c>
    </row>
    <row r="239" spans="1:5" ht="25" customHeight="1" x14ac:dyDescent="0.15">
      <c r="A239" s="57" cm="1">
        <f t="array" ref="A239">INDEX(clean_weekly_data!$A:$A,$E239)+MOD(ROW()-2,7)</f>
        <v>45893</v>
      </c>
      <c r="B239" s="39" t="str">
        <f t="shared" si="9"/>
        <v>Sunday</v>
      </c>
      <c r="C239" s="58" cm="1">
        <f t="array" ref="C239">INDEX(clean_weekly_data!$C:$I,$E239,MOD(ROW()-2,7)+1)</f>
        <v>9120.5</v>
      </c>
      <c r="D239" s="57" t="str">
        <f t="shared" si="11"/>
        <v>Aug 2025</v>
      </c>
      <c r="E239" s="39">
        <f t="shared" si="10"/>
        <v>35</v>
      </c>
    </row>
    <row r="240" spans="1:5" ht="25" customHeight="1" x14ac:dyDescent="0.15">
      <c r="A240" s="57" cm="1">
        <f t="array" ref="A240">INDEX(clean_weekly_data!$A:$A,$E240)+MOD(ROW()-2,7)</f>
        <v>45894</v>
      </c>
      <c r="B240" s="39" t="str">
        <f t="shared" si="9"/>
        <v>Monday</v>
      </c>
      <c r="C240" s="58" cm="1">
        <f t="array" ref="C240">INDEX(clean_weekly_data!$C:$I,$E240,MOD(ROW()-2,7)+1)</f>
        <v>2698</v>
      </c>
      <c r="D240" s="57" t="str">
        <f t="shared" si="11"/>
        <v>Aug 2025</v>
      </c>
      <c r="E240" s="39">
        <f t="shared" si="10"/>
        <v>36</v>
      </c>
    </row>
    <row r="241" spans="1:5" ht="25" customHeight="1" x14ac:dyDescent="0.15">
      <c r="A241" s="57" cm="1">
        <f t="array" ref="A241">INDEX(clean_weekly_data!$A:$A,$E241)+MOD(ROW()-2,7)</f>
        <v>45895</v>
      </c>
      <c r="B241" s="39" t="str">
        <f t="shared" si="9"/>
        <v>Tuesday</v>
      </c>
      <c r="C241" s="58" cm="1">
        <f t="array" ref="C241">INDEX(clean_weekly_data!$C:$I,$E241,MOD(ROW()-2,7)+1)</f>
        <v>2947</v>
      </c>
      <c r="D241" s="57" t="str">
        <f t="shared" si="11"/>
        <v>Aug 2025</v>
      </c>
      <c r="E241" s="39">
        <f t="shared" si="10"/>
        <v>36</v>
      </c>
    </row>
    <row r="242" spans="1:5" ht="25" customHeight="1" x14ac:dyDescent="0.15">
      <c r="A242" s="57" cm="1">
        <f t="array" ref="A242">INDEX(clean_weekly_data!$A:$A,$E242)+MOD(ROW()-2,7)</f>
        <v>45896</v>
      </c>
      <c r="B242" s="39" t="str">
        <f t="shared" si="9"/>
        <v>Wednesday</v>
      </c>
      <c r="C242" s="58" cm="1">
        <f t="array" ref="C242">INDEX(clean_weekly_data!$C:$I,$E242,MOD(ROW()-2,7)+1)</f>
        <v>6142</v>
      </c>
      <c r="D242" s="57" t="str">
        <f t="shared" si="11"/>
        <v>Aug 2025</v>
      </c>
      <c r="E242" s="39">
        <f t="shared" si="10"/>
        <v>36</v>
      </c>
    </row>
    <row r="243" spans="1:5" ht="25" customHeight="1" x14ac:dyDescent="0.15">
      <c r="A243" s="57" cm="1">
        <f t="array" ref="A243">INDEX(clean_weekly_data!$A:$A,$E243)+MOD(ROW()-2,7)</f>
        <v>45897</v>
      </c>
      <c r="B243" s="39" t="str">
        <f t="shared" si="9"/>
        <v>Thursday</v>
      </c>
      <c r="C243" s="58" cm="1">
        <f t="array" ref="C243">INDEX(clean_weekly_data!$C:$I,$E243,MOD(ROW()-2,7)+1)</f>
        <v>4241</v>
      </c>
      <c r="D243" s="57" t="str">
        <f t="shared" si="11"/>
        <v>Aug 2025</v>
      </c>
      <c r="E243" s="39">
        <f t="shared" si="10"/>
        <v>36</v>
      </c>
    </row>
    <row r="244" spans="1:5" ht="25" customHeight="1" x14ac:dyDescent="0.15">
      <c r="A244" s="57" cm="1">
        <f t="array" ref="A244">INDEX(clean_weekly_data!$A:$A,$E244)+MOD(ROW()-2,7)</f>
        <v>45898</v>
      </c>
      <c r="B244" s="39" t="str">
        <f t="shared" si="9"/>
        <v>Friday</v>
      </c>
      <c r="C244" s="58" cm="1">
        <f t="array" ref="C244">INDEX(clean_weekly_data!$C:$I,$E244,MOD(ROW()-2,7)+1)</f>
        <v>8497</v>
      </c>
      <c r="D244" s="57" t="str">
        <f t="shared" si="11"/>
        <v>Aug 2025</v>
      </c>
      <c r="E244" s="39">
        <f t="shared" si="10"/>
        <v>36</v>
      </c>
    </row>
    <row r="245" spans="1:5" ht="25" customHeight="1" x14ac:dyDescent="0.15">
      <c r="A245" s="57" cm="1">
        <f t="array" ref="A245">INDEX(clean_weekly_data!$A:$A,$E245)+MOD(ROW()-2,7)</f>
        <v>45899</v>
      </c>
      <c r="B245" s="39" t="str">
        <f t="shared" si="9"/>
        <v>Saturday</v>
      </c>
      <c r="C245" s="58" cm="1">
        <f t="array" ref="C245">INDEX(clean_weekly_data!$C:$I,$E245,MOD(ROW()-2,7)+1)</f>
        <v>14041</v>
      </c>
      <c r="D245" s="57" t="str">
        <f t="shared" si="11"/>
        <v>Aug 2025</v>
      </c>
      <c r="E245" s="39">
        <f t="shared" si="10"/>
        <v>36</v>
      </c>
    </row>
    <row r="246" spans="1:5" ht="25" customHeight="1" x14ac:dyDescent="0.15">
      <c r="A246" s="57" cm="1">
        <f t="array" ref="A246">INDEX(clean_weekly_data!$A:$A,$E246)+MOD(ROW()-2,7)</f>
        <v>45900</v>
      </c>
      <c r="B246" s="39" t="str">
        <f t="shared" si="9"/>
        <v>Sunday</v>
      </c>
      <c r="C246" s="58" cm="1">
        <f t="array" ref="C246">INDEX(clean_weekly_data!$C:$I,$E246,MOD(ROW()-2,7)+1)</f>
        <v>13380</v>
      </c>
      <c r="D246" s="57" t="str">
        <f t="shared" si="11"/>
        <v>Aug 2025</v>
      </c>
      <c r="E246" s="39">
        <f t="shared" si="10"/>
        <v>36</v>
      </c>
    </row>
    <row r="247" spans="1:5" ht="25" customHeight="1" x14ac:dyDescent="0.15">
      <c r="A247" s="57" cm="1">
        <f t="array" ref="A247">INDEX(clean_weekly_data!$A:$A,$E247)+MOD(ROW()-2,7)</f>
        <v>45901</v>
      </c>
      <c r="B247" s="39" t="str">
        <f t="shared" si="9"/>
        <v>Monday</v>
      </c>
      <c r="C247" s="58" cm="1">
        <f t="array" ref="C247">INDEX(clean_weekly_data!$C:$I,$E247,MOD(ROW()-2,7)+1)</f>
        <v>6449</v>
      </c>
      <c r="D247" s="57" t="str">
        <f t="shared" si="11"/>
        <v>Sep 2025</v>
      </c>
      <c r="E247" s="39">
        <f t="shared" si="10"/>
        <v>37</v>
      </c>
    </row>
    <row r="248" spans="1:5" ht="25" customHeight="1" x14ac:dyDescent="0.15">
      <c r="A248" s="57" cm="1">
        <f t="array" ref="A248">INDEX(clean_weekly_data!$A:$A,$E248)+MOD(ROW()-2,7)</f>
        <v>45902</v>
      </c>
      <c r="B248" s="39" t="str">
        <f t="shared" si="9"/>
        <v>Tuesday</v>
      </c>
      <c r="C248" s="58" cm="1">
        <f t="array" ref="C248">INDEX(clean_weekly_data!$C:$I,$E248,MOD(ROW()-2,7)+1)</f>
        <v>3456</v>
      </c>
      <c r="D248" s="57" t="str">
        <f t="shared" si="11"/>
        <v>Sep 2025</v>
      </c>
      <c r="E248" s="39">
        <f t="shared" si="10"/>
        <v>37</v>
      </c>
    </row>
    <row r="249" spans="1:5" ht="25" customHeight="1" x14ac:dyDescent="0.15">
      <c r="A249" s="57" cm="1">
        <f t="array" ref="A249">INDEX(clean_weekly_data!$A:$A,$E249)+MOD(ROW()-2,7)</f>
        <v>45903</v>
      </c>
      <c r="B249" s="39" t="str">
        <f t="shared" si="9"/>
        <v>Wednesday</v>
      </c>
      <c r="C249" s="58" cm="1">
        <f t="array" ref="C249">INDEX(clean_weekly_data!$C:$I,$E249,MOD(ROW()-2,7)+1)</f>
        <v>3635</v>
      </c>
      <c r="D249" s="57" t="str">
        <f t="shared" si="11"/>
        <v>Sep 2025</v>
      </c>
      <c r="E249" s="39">
        <f t="shared" si="10"/>
        <v>37</v>
      </c>
    </row>
    <row r="250" spans="1:5" ht="25" customHeight="1" x14ac:dyDescent="0.15">
      <c r="A250" s="57" cm="1">
        <f t="array" ref="A250">INDEX(clean_weekly_data!$A:$A,$E250)+MOD(ROW()-2,7)</f>
        <v>45904</v>
      </c>
      <c r="B250" s="39" t="str">
        <f t="shared" si="9"/>
        <v>Thursday</v>
      </c>
      <c r="C250" s="58" cm="1">
        <f t="array" ref="C250">INDEX(clean_weekly_data!$C:$I,$E250,MOD(ROW()-2,7)+1)</f>
        <v>5991</v>
      </c>
      <c r="D250" s="57" t="str">
        <f t="shared" si="11"/>
        <v>Sep 2025</v>
      </c>
      <c r="E250" s="39">
        <f t="shared" si="10"/>
        <v>37</v>
      </c>
    </row>
    <row r="251" spans="1:5" ht="25" customHeight="1" x14ac:dyDescent="0.15">
      <c r="A251" s="57" cm="1">
        <f t="array" ref="A251">INDEX(clean_weekly_data!$A:$A,$E251)+MOD(ROW()-2,7)</f>
        <v>45905</v>
      </c>
      <c r="B251" s="39" t="str">
        <f t="shared" si="9"/>
        <v>Friday</v>
      </c>
      <c r="C251" s="58" cm="1">
        <f t="array" ref="C251">INDEX(clean_weekly_data!$C:$I,$E251,MOD(ROW()-2,7)+1)</f>
        <v>10842</v>
      </c>
      <c r="D251" s="57" t="str">
        <f t="shared" si="11"/>
        <v>Sep 2025</v>
      </c>
      <c r="E251" s="39">
        <f t="shared" si="10"/>
        <v>37</v>
      </c>
    </row>
    <row r="252" spans="1:5" ht="25" customHeight="1" x14ac:dyDescent="0.15">
      <c r="A252" s="57" cm="1">
        <f t="array" ref="A252">INDEX(clean_weekly_data!$A:$A,$E252)+MOD(ROW()-2,7)</f>
        <v>45906</v>
      </c>
      <c r="B252" s="39" t="str">
        <f t="shared" si="9"/>
        <v>Saturday</v>
      </c>
      <c r="C252" s="58" cm="1">
        <f t="array" ref="C252">INDEX(clean_weekly_data!$C:$I,$E252,MOD(ROW()-2,7)+1)</f>
        <v>12760</v>
      </c>
      <c r="D252" s="57" t="str">
        <f t="shared" si="11"/>
        <v>Sep 2025</v>
      </c>
      <c r="E252" s="39">
        <f t="shared" si="10"/>
        <v>37</v>
      </c>
    </row>
    <row r="253" spans="1:5" ht="25" customHeight="1" x14ac:dyDescent="0.15">
      <c r="A253" s="57" cm="1">
        <f t="array" ref="A253">INDEX(clean_weekly_data!$A:$A,$E253)+MOD(ROW()-2,7)</f>
        <v>45907</v>
      </c>
      <c r="B253" s="39" t="str">
        <f t="shared" si="9"/>
        <v>Sunday</v>
      </c>
      <c r="C253" s="58" cm="1">
        <f t="array" ref="C253">INDEX(clean_weekly_data!$C:$I,$E253,MOD(ROW()-2,7)+1)</f>
        <v>6012</v>
      </c>
      <c r="D253" s="57" t="str">
        <f t="shared" si="11"/>
        <v>Sep 2025</v>
      </c>
      <c r="E253" s="39">
        <f t="shared" si="10"/>
        <v>37</v>
      </c>
    </row>
    <row r="254" spans="1:5" ht="25" customHeight="1" x14ac:dyDescent="0.15">
      <c r="A254" s="57" cm="1">
        <f t="array" ref="A254">INDEX(clean_weekly_data!$A:$A,$E254)+MOD(ROW()-2,7)</f>
        <v>45908</v>
      </c>
      <c r="B254" s="39" t="str">
        <f t="shared" si="9"/>
        <v>Monday</v>
      </c>
      <c r="C254" s="58" cm="1">
        <f t="array" ref="C254">INDEX(clean_weekly_data!$C:$I,$E254,MOD(ROW()-2,7)+1)</f>
        <v>2661</v>
      </c>
      <c r="D254" s="57" t="str">
        <f t="shared" si="11"/>
        <v>Sep 2025</v>
      </c>
      <c r="E254" s="39">
        <f t="shared" si="10"/>
        <v>38</v>
      </c>
    </row>
    <row r="255" spans="1:5" ht="25" customHeight="1" x14ac:dyDescent="0.15">
      <c r="A255" s="57" cm="1">
        <f t="array" ref="A255">INDEX(clean_weekly_data!$A:$A,$E255)+MOD(ROW()-2,7)</f>
        <v>45909</v>
      </c>
      <c r="B255" s="39" t="str">
        <f t="shared" si="9"/>
        <v>Tuesday</v>
      </c>
      <c r="C255" s="58" cm="1">
        <f t="array" ref="C255">INDEX(clean_weekly_data!$C:$I,$E255,MOD(ROW()-2,7)+1)</f>
        <v>2563.35</v>
      </c>
      <c r="D255" s="57" t="str">
        <f t="shared" si="11"/>
        <v>Sep 2025</v>
      </c>
      <c r="E255" s="39">
        <f t="shared" si="10"/>
        <v>38</v>
      </c>
    </row>
    <row r="256" spans="1:5" ht="25" customHeight="1" x14ac:dyDescent="0.15">
      <c r="A256" s="57" cm="1">
        <f t="array" ref="A256">INDEX(clean_weekly_data!$A:$A,$E256)+MOD(ROW()-2,7)</f>
        <v>45910</v>
      </c>
      <c r="B256" s="39" t="str">
        <f t="shared" si="9"/>
        <v>Wednesday</v>
      </c>
      <c r="C256" s="58" cm="1">
        <f t="array" ref="C256">INDEX(clean_weekly_data!$C:$I,$E256,MOD(ROW()-2,7)+1)</f>
        <v>5835.75</v>
      </c>
      <c r="D256" s="57" t="str">
        <f t="shared" si="11"/>
        <v>Sep 2025</v>
      </c>
      <c r="E256" s="39">
        <f t="shared" si="10"/>
        <v>38</v>
      </c>
    </row>
    <row r="257" spans="1:5" ht="25" customHeight="1" x14ac:dyDescent="0.15">
      <c r="A257" s="57" cm="1">
        <f t="array" ref="A257">INDEX(clean_weekly_data!$A:$A,$E257)+MOD(ROW()-2,7)</f>
        <v>45911</v>
      </c>
      <c r="B257" s="39" t="str">
        <f t="shared" si="9"/>
        <v>Thursday</v>
      </c>
      <c r="C257" s="58" cm="1">
        <f t="array" ref="C257">INDEX(clean_weekly_data!$C:$I,$E257,MOD(ROW()-2,7)+1)</f>
        <v>5231</v>
      </c>
      <c r="D257" s="57" t="str">
        <f t="shared" si="11"/>
        <v>Sep 2025</v>
      </c>
      <c r="E257" s="39">
        <f t="shared" si="10"/>
        <v>38</v>
      </c>
    </row>
    <row r="258" spans="1:5" ht="25" customHeight="1" x14ac:dyDescent="0.15">
      <c r="A258" s="57" cm="1">
        <f t="array" ref="A258">INDEX(clean_weekly_data!$A:$A,$E258)+MOD(ROW()-2,7)</f>
        <v>45912</v>
      </c>
      <c r="B258" s="39" t="str">
        <f t="shared" si="9"/>
        <v>Friday</v>
      </c>
      <c r="C258" s="58" cm="1">
        <f t="array" ref="C258">INDEX(clean_weekly_data!$C:$I,$E258,MOD(ROW()-2,7)+1)</f>
        <v>12468</v>
      </c>
      <c r="D258" s="57" t="str">
        <f t="shared" si="11"/>
        <v>Sep 2025</v>
      </c>
      <c r="E258" s="39">
        <f t="shared" si="10"/>
        <v>38</v>
      </c>
    </row>
    <row r="259" spans="1:5" ht="25" customHeight="1" x14ac:dyDescent="0.15">
      <c r="A259" s="57" cm="1">
        <f t="array" ref="A259">INDEX(clean_weekly_data!$A:$A,$E259)+MOD(ROW()-2,7)</f>
        <v>45913</v>
      </c>
      <c r="B259" s="39" t="str">
        <f t="shared" ref="B259:B322" si="12">CHOOSE(MOD(ROW()-2,7)+1,"Monday","Tuesday","Wednesday","Thursday","Friday","Saturday","Sunday")</f>
        <v>Saturday</v>
      </c>
      <c r="C259" s="58" cm="1">
        <f t="array" ref="C259">INDEX(clean_weekly_data!$C:$I,$E259,MOD(ROW()-2,7)+1)</f>
        <v>15258</v>
      </c>
      <c r="D259" s="57" t="str">
        <f t="shared" si="11"/>
        <v>Sep 2025</v>
      </c>
      <c r="E259" s="39">
        <f t="shared" ref="E259:E322" si="13">INT((ROW()-2)/7)+2</f>
        <v>38</v>
      </c>
    </row>
    <row r="260" spans="1:5" ht="25" customHeight="1" x14ac:dyDescent="0.15">
      <c r="A260" s="57" cm="1">
        <f t="array" ref="A260">INDEX(clean_weekly_data!$A:$A,$E260)+MOD(ROW()-2,7)</f>
        <v>45914</v>
      </c>
      <c r="B260" s="39" t="str">
        <f t="shared" si="12"/>
        <v>Sunday</v>
      </c>
      <c r="C260" s="58" cm="1">
        <f t="array" ref="C260">INDEX(clean_weekly_data!$C:$I,$E260,MOD(ROW()-2,7)+1)</f>
        <v>5234.8</v>
      </c>
      <c r="D260" s="57" t="str">
        <f t="shared" si="11"/>
        <v>Sep 2025</v>
      </c>
      <c r="E260" s="39">
        <f t="shared" si="13"/>
        <v>38</v>
      </c>
    </row>
    <row r="261" spans="1:5" ht="25" customHeight="1" x14ac:dyDescent="0.15">
      <c r="A261" s="57" cm="1">
        <f t="array" ref="A261">INDEX(clean_weekly_data!$A:$A,$E261)+MOD(ROW()-2,7)</f>
        <v>45915</v>
      </c>
      <c r="B261" s="39" t="str">
        <f t="shared" si="12"/>
        <v>Monday</v>
      </c>
      <c r="C261" s="58" cm="1">
        <f t="array" ref="C261">INDEX(clean_weekly_data!$C:$I,$E261,MOD(ROW()-2,7)+1)</f>
        <v>3043</v>
      </c>
      <c r="D261" s="57" t="str">
        <f t="shared" si="11"/>
        <v>Sep 2025</v>
      </c>
      <c r="E261" s="39">
        <f t="shared" si="13"/>
        <v>39</v>
      </c>
    </row>
    <row r="262" spans="1:5" ht="25" customHeight="1" x14ac:dyDescent="0.15">
      <c r="A262" s="57" cm="1">
        <f t="array" ref="A262">INDEX(clean_weekly_data!$A:$A,$E262)+MOD(ROW()-2,7)</f>
        <v>45916</v>
      </c>
      <c r="B262" s="39" t="str">
        <f t="shared" si="12"/>
        <v>Tuesday</v>
      </c>
      <c r="C262" s="58" cm="1">
        <f t="array" ref="C262">INDEX(clean_weekly_data!$C:$I,$E262,MOD(ROW()-2,7)+1)</f>
        <v>3816</v>
      </c>
      <c r="D262" s="57" t="str">
        <f t="shared" si="11"/>
        <v>Sep 2025</v>
      </c>
      <c r="E262" s="39">
        <f t="shared" si="13"/>
        <v>39</v>
      </c>
    </row>
    <row r="263" spans="1:5" ht="25" customHeight="1" x14ac:dyDescent="0.15">
      <c r="A263" s="57" cm="1">
        <f t="array" ref="A263">INDEX(clean_weekly_data!$A:$A,$E263)+MOD(ROW()-2,7)</f>
        <v>45917</v>
      </c>
      <c r="B263" s="39" t="str">
        <f t="shared" si="12"/>
        <v>Wednesday</v>
      </c>
      <c r="C263" s="58" cm="1">
        <f t="array" ref="C263">INDEX(clean_weekly_data!$C:$I,$E263,MOD(ROW()-2,7)+1)</f>
        <v>4941</v>
      </c>
      <c r="D263" s="57" t="str">
        <f t="shared" si="11"/>
        <v>Sep 2025</v>
      </c>
      <c r="E263" s="39">
        <f t="shared" si="13"/>
        <v>39</v>
      </c>
    </row>
    <row r="264" spans="1:5" ht="25" customHeight="1" x14ac:dyDescent="0.15">
      <c r="A264" s="57" cm="1">
        <f t="array" ref="A264">INDEX(clean_weekly_data!$A:$A,$E264)+MOD(ROW()-2,7)</f>
        <v>45918</v>
      </c>
      <c r="B264" s="39" t="str">
        <f t="shared" si="12"/>
        <v>Thursday</v>
      </c>
      <c r="C264" s="58" cm="1">
        <f t="array" ref="C264">INDEX(clean_weekly_data!$C:$I,$E264,MOD(ROW()-2,7)+1)</f>
        <v>4566</v>
      </c>
      <c r="D264" s="57" t="str">
        <f t="shared" si="11"/>
        <v>Sep 2025</v>
      </c>
      <c r="E264" s="39">
        <f t="shared" si="13"/>
        <v>39</v>
      </c>
    </row>
    <row r="265" spans="1:5" ht="25" customHeight="1" x14ac:dyDescent="0.15">
      <c r="A265" s="57" cm="1">
        <f t="array" ref="A265">INDEX(clean_weekly_data!$A:$A,$E265)+MOD(ROW()-2,7)</f>
        <v>45919</v>
      </c>
      <c r="B265" s="39" t="str">
        <f t="shared" si="12"/>
        <v>Friday</v>
      </c>
      <c r="C265" s="58" cm="1">
        <f t="array" ref="C265">INDEX(clean_weekly_data!$C:$I,$E265,MOD(ROW()-2,7)+1)</f>
        <v>13164</v>
      </c>
      <c r="D265" s="57" t="str">
        <f t="shared" si="11"/>
        <v>Sep 2025</v>
      </c>
      <c r="E265" s="39">
        <f t="shared" si="13"/>
        <v>39</v>
      </c>
    </row>
    <row r="266" spans="1:5" ht="25" customHeight="1" x14ac:dyDescent="0.15">
      <c r="A266" s="57" cm="1">
        <f t="array" ref="A266">INDEX(clean_weekly_data!$A:$A,$E266)+MOD(ROW()-2,7)</f>
        <v>45920</v>
      </c>
      <c r="B266" s="39" t="str">
        <f t="shared" si="12"/>
        <v>Saturday</v>
      </c>
      <c r="C266" s="58" cm="1">
        <f t="array" ref="C266">INDEX(clean_weekly_data!$C:$I,$E266,MOD(ROW()-2,7)+1)</f>
        <v>11857</v>
      </c>
      <c r="D266" s="57" t="str">
        <f t="shared" si="11"/>
        <v>Sep 2025</v>
      </c>
      <c r="E266" s="39">
        <f t="shared" si="13"/>
        <v>39</v>
      </c>
    </row>
    <row r="267" spans="1:5" ht="25" customHeight="1" x14ac:dyDescent="0.15">
      <c r="A267" s="57" cm="1">
        <f t="array" ref="A267">INDEX(clean_weekly_data!$A:$A,$E267)+MOD(ROW()-2,7)</f>
        <v>45921</v>
      </c>
      <c r="B267" s="39" t="str">
        <f t="shared" si="12"/>
        <v>Sunday</v>
      </c>
      <c r="C267" s="58" cm="1">
        <f t="array" ref="C267">INDEX(clean_weekly_data!$C:$I,$E267,MOD(ROW()-2,7)+1)</f>
        <v>4925</v>
      </c>
      <c r="D267" s="57" t="str">
        <f t="shared" si="11"/>
        <v>Sep 2025</v>
      </c>
      <c r="E267" s="39">
        <f t="shared" si="13"/>
        <v>39</v>
      </c>
    </row>
    <row r="268" spans="1:5" ht="25" customHeight="1" x14ac:dyDescent="0.15">
      <c r="A268" s="57" cm="1">
        <f t="array" ref="A268">INDEX(clean_weekly_data!$A:$A,$E268)+MOD(ROW()-2,7)</f>
        <v>45922</v>
      </c>
      <c r="B268" s="39" t="str">
        <f t="shared" si="12"/>
        <v>Monday</v>
      </c>
      <c r="C268" s="58" cm="1">
        <f t="array" ref="C268">INDEX(clean_weekly_data!$C:$I,$E268,MOD(ROW()-2,7)+1)</f>
        <v>3098</v>
      </c>
      <c r="D268" s="57" t="str">
        <f t="shared" si="11"/>
        <v>Sep 2025</v>
      </c>
      <c r="E268" s="39">
        <f t="shared" si="13"/>
        <v>40</v>
      </c>
    </row>
    <row r="269" spans="1:5" ht="25" customHeight="1" x14ac:dyDescent="0.15">
      <c r="A269" s="57" cm="1">
        <f t="array" ref="A269">INDEX(clean_weekly_data!$A:$A,$E269)+MOD(ROW()-2,7)</f>
        <v>45923</v>
      </c>
      <c r="B269" s="39" t="str">
        <f t="shared" si="12"/>
        <v>Tuesday</v>
      </c>
      <c r="C269" s="58" cm="1">
        <f t="array" ref="C269">INDEX(clean_weekly_data!$C:$I,$E269,MOD(ROW()-2,7)+1)</f>
        <v>3673</v>
      </c>
      <c r="D269" s="57" t="str">
        <f t="shared" si="11"/>
        <v>Sep 2025</v>
      </c>
      <c r="E269" s="39">
        <f t="shared" si="13"/>
        <v>40</v>
      </c>
    </row>
    <row r="270" spans="1:5" ht="25" customHeight="1" x14ac:dyDescent="0.15">
      <c r="A270" s="57" cm="1">
        <f t="array" ref="A270">INDEX(clean_weekly_data!$A:$A,$E270)+MOD(ROW()-2,7)</f>
        <v>45924</v>
      </c>
      <c r="B270" s="39" t="str">
        <f t="shared" si="12"/>
        <v>Wednesday</v>
      </c>
      <c r="C270" s="58" cm="1">
        <f t="array" ref="C270">INDEX(clean_weekly_data!$C:$I,$E270,MOD(ROW()-2,7)+1)</f>
        <v>5523</v>
      </c>
      <c r="D270" s="57" t="str">
        <f t="shared" si="11"/>
        <v>Sep 2025</v>
      </c>
      <c r="E270" s="39">
        <f t="shared" si="13"/>
        <v>40</v>
      </c>
    </row>
    <row r="271" spans="1:5" ht="25" customHeight="1" x14ac:dyDescent="0.15">
      <c r="A271" s="57" cm="1">
        <f t="array" ref="A271">INDEX(clean_weekly_data!$A:$A,$E271)+MOD(ROW()-2,7)</f>
        <v>45925</v>
      </c>
      <c r="B271" s="39" t="str">
        <f t="shared" si="12"/>
        <v>Thursday</v>
      </c>
      <c r="C271" s="58" cm="1">
        <f t="array" ref="C271">INDEX(clean_weekly_data!$C:$I,$E271,MOD(ROW()-2,7)+1)</f>
        <v>4672</v>
      </c>
      <c r="D271" s="57" t="str">
        <f t="shared" si="11"/>
        <v>Sep 2025</v>
      </c>
      <c r="E271" s="39">
        <f t="shared" si="13"/>
        <v>40</v>
      </c>
    </row>
    <row r="272" spans="1:5" ht="25" customHeight="1" x14ac:dyDescent="0.15">
      <c r="A272" s="57" cm="1">
        <f t="array" ref="A272">INDEX(clean_weekly_data!$A:$A,$E272)+MOD(ROW()-2,7)</f>
        <v>45926</v>
      </c>
      <c r="B272" s="39" t="str">
        <f t="shared" si="12"/>
        <v>Friday</v>
      </c>
      <c r="C272" s="58" cm="1">
        <f t="array" ref="C272">INDEX(clean_weekly_data!$C:$I,$E272,MOD(ROW()-2,7)+1)</f>
        <v>14017</v>
      </c>
      <c r="D272" s="57" t="str">
        <f t="shared" si="11"/>
        <v>Sep 2025</v>
      </c>
      <c r="E272" s="39">
        <f t="shared" si="13"/>
        <v>40</v>
      </c>
    </row>
    <row r="273" spans="1:5" ht="25" customHeight="1" x14ac:dyDescent="0.15">
      <c r="A273" s="57" cm="1">
        <f t="array" ref="A273">INDEX(clean_weekly_data!$A:$A,$E273)+MOD(ROW()-2,7)</f>
        <v>45927</v>
      </c>
      <c r="B273" s="39" t="str">
        <f t="shared" si="12"/>
        <v>Saturday</v>
      </c>
      <c r="C273" s="58" cm="1">
        <f t="array" ref="C273">INDEX(clean_weekly_data!$C:$I,$E273,MOD(ROW()-2,7)+1)</f>
        <v>15065</v>
      </c>
      <c r="D273" s="57" t="str">
        <f t="shared" si="11"/>
        <v>Sep 2025</v>
      </c>
      <c r="E273" s="39">
        <f t="shared" si="13"/>
        <v>40</v>
      </c>
    </row>
    <row r="274" spans="1:5" ht="25" customHeight="1" x14ac:dyDescent="0.15">
      <c r="A274" s="57" cm="1">
        <f t="array" ref="A274">INDEX(clean_weekly_data!$A:$A,$E274)+MOD(ROW()-2,7)</f>
        <v>45928</v>
      </c>
      <c r="B274" s="39" t="str">
        <f t="shared" si="12"/>
        <v>Sunday</v>
      </c>
      <c r="C274" s="58" cm="1">
        <f t="array" ref="C274">INDEX(clean_weekly_data!$C:$I,$E274,MOD(ROW()-2,7)+1)</f>
        <v>6656</v>
      </c>
      <c r="D274" s="57" t="str">
        <f t="shared" si="11"/>
        <v>Sep 2025</v>
      </c>
      <c r="E274" s="39">
        <f t="shared" si="13"/>
        <v>40</v>
      </c>
    </row>
    <row r="275" spans="1:5" ht="25" customHeight="1" x14ac:dyDescent="0.15">
      <c r="A275" s="57" cm="1">
        <f t="array" ref="A275">INDEX(clean_weekly_data!$A:$A,$E275)+MOD(ROW()-2,7)</f>
        <v>45929</v>
      </c>
      <c r="B275" s="39" t="str">
        <f t="shared" si="12"/>
        <v>Monday</v>
      </c>
      <c r="C275" s="58" cm="1">
        <f t="array" ref="C275">INDEX(clean_weekly_data!$C:$I,$E275,MOD(ROW()-2,7)+1)</f>
        <v>5288</v>
      </c>
      <c r="D275" s="57" t="str">
        <f t="shared" si="11"/>
        <v>Sep 2025</v>
      </c>
      <c r="E275" s="39">
        <f t="shared" si="13"/>
        <v>41</v>
      </c>
    </row>
    <row r="276" spans="1:5" ht="25" customHeight="1" x14ac:dyDescent="0.15">
      <c r="A276" s="57" cm="1">
        <f t="array" ref="A276">INDEX(clean_weekly_data!$A:$A,$E276)+MOD(ROW()-2,7)</f>
        <v>45930</v>
      </c>
      <c r="B276" s="39" t="str">
        <f t="shared" si="12"/>
        <v>Tuesday</v>
      </c>
      <c r="C276" s="58" cm="1">
        <f t="array" ref="C276">INDEX(clean_weekly_data!$C:$I,$E276,MOD(ROW()-2,7)+1)</f>
        <v>4115</v>
      </c>
      <c r="D276" s="57" t="str">
        <f t="shared" si="11"/>
        <v>Sep 2025</v>
      </c>
      <c r="E276" s="39">
        <f t="shared" si="13"/>
        <v>41</v>
      </c>
    </row>
    <row r="277" spans="1:5" ht="25" customHeight="1" x14ac:dyDescent="0.15">
      <c r="A277" s="57" cm="1">
        <f t="array" ref="A277">INDEX(clean_weekly_data!$A:$A,$E277)+MOD(ROW()-2,7)</f>
        <v>45931</v>
      </c>
      <c r="B277" s="39" t="str">
        <f t="shared" si="12"/>
        <v>Wednesday</v>
      </c>
      <c r="C277" s="58" cm="1">
        <f t="array" ref="C277">INDEX(clean_weekly_data!$C:$I,$E277,MOD(ROW()-2,7)+1)</f>
        <v>4060</v>
      </c>
      <c r="D277" s="57" t="str">
        <f t="shared" si="11"/>
        <v>Oct 2025</v>
      </c>
      <c r="E277" s="39">
        <f t="shared" si="13"/>
        <v>41</v>
      </c>
    </row>
    <row r="278" spans="1:5" ht="25" customHeight="1" x14ac:dyDescent="0.15">
      <c r="A278" s="57" cm="1">
        <f t="array" ref="A278">INDEX(clean_weekly_data!$A:$A,$E278)+MOD(ROW()-2,7)</f>
        <v>45932</v>
      </c>
      <c r="B278" s="39" t="str">
        <f t="shared" si="12"/>
        <v>Thursday</v>
      </c>
      <c r="C278" s="58" cm="1">
        <f t="array" ref="C278">INDEX(clean_weekly_data!$C:$I,$E278,MOD(ROW()-2,7)+1)</f>
        <v>4905.3500000000004</v>
      </c>
      <c r="D278" s="57" t="str">
        <f t="shared" si="11"/>
        <v>Oct 2025</v>
      </c>
      <c r="E278" s="39">
        <f t="shared" si="13"/>
        <v>41</v>
      </c>
    </row>
    <row r="279" spans="1:5" ht="25" customHeight="1" x14ac:dyDescent="0.15">
      <c r="A279" s="57" cm="1">
        <f t="array" ref="A279">INDEX(clean_weekly_data!$A:$A,$E279)+MOD(ROW()-2,7)</f>
        <v>45933</v>
      </c>
      <c r="B279" s="39" t="str">
        <f t="shared" si="12"/>
        <v>Friday</v>
      </c>
      <c r="C279" s="58" cm="1">
        <f t="array" ref="C279">INDEX(clean_weekly_data!$C:$I,$E279,MOD(ROW()-2,7)+1)</f>
        <v>12463</v>
      </c>
      <c r="D279" s="57" t="str">
        <f t="shared" si="11"/>
        <v>Oct 2025</v>
      </c>
      <c r="E279" s="39">
        <f t="shared" si="13"/>
        <v>41</v>
      </c>
    </row>
    <row r="280" spans="1:5" ht="25" customHeight="1" x14ac:dyDescent="0.15">
      <c r="A280" s="57" cm="1">
        <f t="array" ref="A280">INDEX(clean_weekly_data!$A:$A,$E280)+MOD(ROW()-2,7)</f>
        <v>45934</v>
      </c>
      <c r="B280" s="39" t="str">
        <f t="shared" si="12"/>
        <v>Saturday</v>
      </c>
      <c r="C280" s="58" cm="1">
        <f t="array" ref="C280">INDEX(clean_weekly_data!$C:$I,$E280,MOD(ROW()-2,7)+1)</f>
        <v>14157</v>
      </c>
      <c r="D280" s="57" t="str">
        <f t="shared" si="11"/>
        <v>Oct 2025</v>
      </c>
      <c r="E280" s="39">
        <f t="shared" si="13"/>
        <v>41</v>
      </c>
    </row>
    <row r="281" spans="1:5" ht="25" customHeight="1" x14ac:dyDescent="0.15">
      <c r="A281" s="57" cm="1">
        <f t="array" ref="A281">INDEX(clean_weekly_data!$A:$A,$E281)+MOD(ROW()-2,7)</f>
        <v>45935</v>
      </c>
      <c r="B281" s="39" t="str">
        <f t="shared" si="12"/>
        <v>Sunday</v>
      </c>
      <c r="C281" s="58" cm="1">
        <f t="array" ref="C281">INDEX(clean_weekly_data!$C:$I,$E281,MOD(ROW()-2,7)+1)</f>
        <v>6136</v>
      </c>
      <c r="D281" s="57" t="str">
        <f t="shared" si="11"/>
        <v>Oct 2025</v>
      </c>
      <c r="E281" s="39">
        <f t="shared" si="13"/>
        <v>41</v>
      </c>
    </row>
    <row r="282" spans="1:5" ht="25" customHeight="1" x14ac:dyDescent="0.15">
      <c r="A282" s="57" cm="1">
        <f t="array" ref="A282">INDEX(clean_weekly_data!$A:$A,$E282)+MOD(ROW()-2,7)</f>
        <v>45936</v>
      </c>
      <c r="B282" s="39" t="str">
        <f t="shared" si="12"/>
        <v>Monday</v>
      </c>
      <c r="C282" s="58" cm="1">
        <f t="array" ref="C282">INDEX(clean_weekly_data!$C:$I,$E282,MOD(ROW()-2,7)+1)</f>
        <v>3590</v>
      </c>
      <c r="D282" s="57" t="str">
        <f t="shared" si="11"/>
        <v>Oct 2025</v>
      </c>
      <c r="E282" s="39">
        <f t="shared" si="13"/>
        <v>42</v>
      </c>
    </row>
    <row r="283" spans="1:5" ht="25" customHeight="1" x14ac:dyDescent="0.15">
      <c r="A283" s="57" cm="1">
        <f t="array" ref="A283">INDEX(clean_weekly_data!$A:$A,$E283)+MOD(ROW()-2,7)</f>
        <v>45937</v>
      </c>
      <c r="B283" s="39" t="str">
        <f t="shared" si="12"/>
        <v>Tuesday</v>
      </c>
      <c r="C283" s="58" cm="1">
        <f t="array" ref="C283">INDEX(clean_weekly_data!$C:$I,$E283,MOD(ROW()-2,7)+1)</f>
        <v>3100</v>
      </c>
      <c r="D283" s="57" t="str">
        <f t="shared" si="11"/>
        <v>Oct 2025</v>
      </c>
      <c r="E283" s="39">
        <f t="shared" si="13"/>
        <v>42</v>
      </c>
    </row>
    <row r="284" spans="1:5" ht="25" customHeight="1" x14ac:dyDescent="0.15">
      <c r="A284" s="57" cm="1">
        <f t="array" ref="A284">INDEX(clean_weekly_data!$A:$A,$E284)+MOD(ROW()-2,7)</f>
        <v>45938</v>
      </c>
      <c r="B284" s="39" t="str">
        <f t="shared" si="12"/>
        <v>Wednesday</v>
      </c>
      <c r="C284" s="58" cm="1">
        <f t="array" ref="C284">INDEX(clean_weekly_data!$C:$I,$E284,MOD(ROW()-2,7)+1)</f>
        <v>4487</v>
      </c>
      <c r="D284" s="57" t="str">
        <f t="shared" si="11"/>
        <v>Oct 2025</v>
      </c>
      <c r="E284" s="39">
        <f t="shared" si="13"/>
        <v>42</v>
      </c>
    </row>
    <row r="285" spans="1:5" ht="25" customHeight="1" x14ac:dyDescent="0.15">
      <c r="A285" s="57" cm="1">
        <f t="array" ref="A285">INDEX(clean_weekly_data!$A:$A,$E285)+MOD(ROW()-2,7)</f>
        <v>45939</v>
      </c>
      <c r="B285" s="39" t="str">
        <f t="shared" si="12"/>
        <v>Thursday</v>
      </c>
      <c r="C285" s="58" cm="1">
        <f t="array" ref="C285">INDEX(clean_weekly_data!$C:$I,$E285,MOD(ROW()-2,7)+1)</f>
        <v>4065</v>
      </c>
      <c r="D285" s="57" t="str">
        <f t="shared" si="11"/>
        <v>Oct 2025</v>
      </c>
      <c r="E285" s="39">
        <f t="shared" si="13"/>
        <v>42</v>
      </c>
    </row>
    <row r="286" spans="1:5" ht="25" customHeight="1" x14ac:dyDescent="0.15">
      <c r="A286" s="57" cm="1">
        <f t="array" ref="A286">INDEX(clean_weekly_data!$A:$A,$E286)+MOD(ROW()-2,7)</f>
        <v>45940</v>
      </c>
      <c r="B286" s="39" t="str">
        <f t="shared" si="12"/>
        <v>Friday</v>
      </c>
      <c r="C286" s="58" cm="1">
        <f t="array" ref="C286">INDEX(clean_weekly_data!$C:$I,$E286,MOD(ROW()-2,7)+1)</f>
        <v>10992</v>
      </c>
      <c r="D286" s="57" t="str">
        <f t="shared" si="11"/>
        <v>Oct 2025</v>
      </c>
      <c r="E286" s="39">
        <f t="shared" si="13"/>
        <v>42</v>
      </c>
    </row>
    <row r="287" spans="1:5" ht="25" customHeight="1" x14ac:dyDescent="0.15">
      <c r="A287" s="57" cm="1">
        <f t="array" ref="A287">INDEX(clean_weekly_data!$A:$A,$E287)+MOD(ROW()-2,7)</f>
        <v>45941</v>
      </c>
      <c r="B287" s="39" t="str">
        <f t="shared" si="12"/>
        <v>Saturday</v>
      </c>
      <c r="C287" s="58" cm="1">
        <f t="array" ref="C287">INDEX(clean_weekly_data!$C:$I,$E287,MOD(ROW()-2,7)+1)</f>
        <v>11743</v>
      </c>
      <c r="D287" s="57" t="str">
        <f t="shared" si="11"/>
        <v>Oct 2025</v>
      </c>
      <c r="E287" s="39">
        <f t="shared" si="13"/>
        <v>42</v>
      </c>
    </row>
    <row r="288" spans="1:5" ht="25" customHeight="1" x14ac:dyDescent="0.15">
      <c r="A288" s="57" cm="1">
        <f t="array" ref="A288">INDEX(clean_weekly_data!$A:$A,$E288)+MOD(ROW()-2,7)</f>
        <v>45942</v>
      </c>
      <c r="B288" s="39" t="str">
        <f t="shared" si="12"/>
        <v>Sunday</v>
      </c>
      <c r="C288" s="58" cm="1">
        <f t="array" ref="C288">INDEX(clean_weekly_data!$C:$I,$E288,MOD(ROW()-2,7)+1)</f>
        <v>8789</v>
      </c>
      <c r="D288" s="57" t="str">
        <f t="shared" si="11"/>
        <v>Oct 2025</v>
      </c>
      <c r="E288" s="39">
        <f t="shared" si="13"/>
        <v>42</v>
      </c>
    </row>
    <row r="289" spans="1:5" ht="25" customHeight="1" x14ac:dyDescent="0.15">
      <c r="A289" s="57" cm="1">
        <f t="array" ref="A289">INDEX(clean_weekly_data!$A:$A,$E289)+MOD(ROW()-2,7)</f>
        <v>45943</v>
      </c>
      <c r="B289" s="39" t="str">
        <f t="shared" si="12"/>
        <v>Monday</v>
      </c>
      <c r="C289" s="58" cm="1">
        <f t="array" ref="C289">INDEX(clean_weekly_data!$C:$I,$E289,MOD(ROW()-2,7)+1)</f>
        <v>3266</v>
      </c>
      <c r="D289" s="57" t="str">
        <f t="shared" si="11"/>
        <v>Oct 2025</v>
      </c>
      <c r="E289" s="39">
        <f t="shared" si="13"/>
        <v>43</v>
      </c>
    </row>
    <row r="290" spans="1:5" ht="25" customHeight="1" x14ac:dyDescent="0.15">
      <c r="A290" s="57" cm="1">
        <f t="array" ref="A290">INDEX(clean_weekly_data!$A:$A,$E290)+MOD(ROW()-2,7)</f>
        <v>45944</v>
      </c>
      <c r="B290" s="39" t="str">
        <f t="shared" si="12"/>
        <v>Tuesday</v>
      </c>
      <c r="C290" s="58" cm="1">
        <f t="array" ref="C290">INDEX(clean_weekly_data!$C:$I,$E290,MOD(ROW()-2,7)+1)</f>
        <v>2345</v>
      </c>
      <c r="D290" s="57" t="str">
        <f t="shared" si="11"/>
        <v>Oct 2025</v>
      </c>
      <c r="E290" s="39">
        <f t="shared" si="13"/>
        <v>43</v>
      </c>
    </row>
    <row r="291" spans="1:5" ht="25" customHeight="1" x14ac:dyDescent="0.15">
      <c r="A291" s="57" cm="1">
        <f t="array" ref="A291">INDEX(clean_weekly_data!$A:$A,$E291)+MOD(ROW()-2,7)</f>
        <v>45945</v>
      </c>
      <c r="B291" s="39" t="str">
        <f t="shared" si="12"/>
        <v>Wednesday</v>
      </c>
      <c r="C291" s="58" cm="1">
        <f t="array" ref="C291">INDEX(clean_weekly_data!$C:$I,$E291,MOD(ROW()-2,7)+1)</f>
        <v>2635</v>
      </c>
      <c r="D291" s="57" t="str">
        <f t="shared" si="11"/>
        <v>Oct 2025</v>
      </c>
      <c r="E291" s="39">
        <f t="shared" si="13"/>
        <v>43</v>
      </c>
    </row>
    <row r="292" spans="1:5" ht="25" customHeight="1" x14ac:dyDescent="0.15">
      <c r="A292" s="57" cm="1">
        <f t="array" ref="A292">INDEX(clean_weekly_data!$A:$A,$E292)+MOD(ROW()-2,7)</f>
        <v>45946</v>
      </c>
      <c r="B292" s="39" t="str">
        <f t="shared" si="12"/>
        <v>Thursday</v>
      </c>
      <c r="C292" s="58" cm="1">
        <f t="array" ref="C292">INDEX(clean_weekly_data!$C:$I,$E292,MOD(ROW()-2,7)+1)</f>
        <v>7266</v>
      </c>
      <c r="D292" s="57" t="str">
        <f t="shared" si="11"/>
        <v>Oct 2025</v>
      </c>
      <c r="E292" s="39">
        <f t="shared" si="13"/>
        <v>43</v>
      </c>
    </row>
    <row r="293" spans="1:5" ht="25" customHeight="1" x14ac:dyDescent="0.15">
      <c r="A293" s="57" cm="1">
        <f t="array" ref="A293">INDEX(clean_weekly_data!$A:$A,$E293)+MOD(ROW()-2,7)</f>
        <v>45947</v>
      </c>
      <c r="B293" s="39" t="str">
        <f t="shared" si="12"/>
        <v>Friday</v>
      </c>
      <c r="C293" s="58" cm="1">
        <f t="array" ref="C293">INDEX(clean_weekly_data!$C:$I,$E293,MOD(ROW()-2,7)+1)</f>
        <v>11749</v>
      </c>
      <c r="D293" s="57" t="str">
        <f t="shared" ref="D293:D356" si="14">TEXT(A293,"mmm yyyy")</f>
        <v>Oct 2025</v>
      </c>
      <c r="E293" s="39">
        <f t="shared" si="13"/>
        <v>43</v>
      </c>
    </row>
    <row r="294" spans="1:5" ht="25" customHeight="1" x14ac:dyDescent="0.15">
      <c r="A294" s="57" cm="1">
        <f t="array" ref="A294">INDEX(clean_weekly_data!$A:$A,$E294)+MOD(ROW()-2,7)</f>
        <v>45948</v>
      </c>
      <c r="B294" s="39" t="str">
        <f t="shared" si="12"/>
        <v>Saturday</v>
      </c>
      <c r="C294" s="58" cm="1">
        <f t="array" ref="C294">INDEX(clean_weekly_data!$C:$I,$E294,MOD(ROW()-2,7)+1)</f>
        <v>13520</v>
      </c>
      <c r="D294" s="57" t="str">
        <f t="shared" si="14"/>
        <v>Oct 2025</v>
      </c>
      <c r="E294" s="39">
        <f t="shared" si="13"/>
        <v>43</v>
      </c>
    </row>
    <row r="295" spans="1:5" ht="25" customHeight="1" x14ac:dyDescent="0.15">
      <c r="A295" s="57" cm="1">
        <f t="array" ref="A295">INDEX(clean_weekly_data!$A:$A,$E295)+MOD(ROW()-2,7)</f>
        <v>45949</v>
      </c>
      <c r="B295" s="39" t="str">
        <f t="shared" si="12"/>
        <v>Sunday</v>
      </c>
      <c r="C295" s="58" cm="1">
        <f t="array" ref="C295">INDEX(clean_weekly_data!$C:$I,$E295,MOD(ROW()-2,7)+1)</f>
        <v>4459</v>
      </c>
      <c r="D295" s="57" t="str">
        <f t="shared" si="14"/>
        <v>Oct 2025</v>
      </c>
      <c r="E295" s="39">
        <f t="shared" si="13"/>
        <v>43</v>
      </c>
    </row>
    <row r="296" spans="1:5" ht="25" customHeight="1" x14ac:dyDescent="0.15">
      <c r="A296" s="57" cm="1">
        <f t="array" ref="A296">INDEX(clean_weekly_data!$A:$A,$E296)+MOD(ROW()-2,7)</f>
        <v>45950</v>
      </c>
      <c r="B296" s="39" t="str">
        <f t="shared" si="12"/>
        <v>Monday</v>
      </c>
      <c r="C296" s="58" cm="1">
        <f t="array" ref="C296">INDEX(clean_weekly_data!$C:$I,$E296,MOD(ROW()-2,7)+1)</f>
        <v>4119</v>
      </c>
      <c r="D296" s="57" t="str">
        <f t="shared" si="14"/>
        <v>Oct 2025</v>
      </c>
      <c r="E296" s="39">
        <f t="shared" si="13"/>
        <v>44</v>
      </c>
    </row>
    <row r="297" spans="1:5" ht="25" customHeight="1" x14ac:dyDescent="0.15">
      <c r="A297" s="57" cm="1">
        <f t="array" ref="A297">INDEX(clean_weekly_data!$A:$A,$E297)+MOD(ROW()-2,7)</f>
        <v>45951</v>
      </c>
      <c r="B297" s="39" t="str">
        <f t="shared" si="12"/>
        <v>Tuesday</v>
      </c>
      <c r="C297" s="58" cm="1">
        <f t="array" ref="C297">INDEX(clean_weekly_data!$C:$I,$E297,MOD(ROW()-2,7)+1)</f>
        <v>1931</v>
      </c>
      <c r="D297" s="57" t="str">
        <f t="shared" si="14"/>
        <v>Oct 2025</v>
      </c>
      <c r="E297" s="39">
        <f t="shared" si="13"/>
        <v>44</v>
      </c>
    </row>
    <row r="298" spans="1:5" ht="25" customHeight="1" x14ac:dyDescent="0.15">
      <c r="A298" s="57" cm="1">
        <f t="array" ref="A298">INDEX(clean_weekly_data!$A:$A,$E298)+MOD(ROW()-2,7)</f>
        <v>45952</v>
      </c>
      <c r="B298" s="39" t="str">
        <f t="shared" si="12"/>
        <v>Wednesday</v>
      </c>
      <c r="C298" s="58" cm="1">
        <f t="array" ref="C298">INDEX(clean_weekly_data!$C:$I,$E298,MOD(ROW()-2,7)+1)</f>
        <v>3068</v>
      </c>
      <c r="D298" s="57" t="str">
        <f t="shared" si="14"/>
        <v>Oct 2025</v>
      </c>
      <c r="E298" s="39">
        <f t="shared" si="13"/>
        <v>44</v>
      </c>
    </row>
    <row r="299" spans="1:5" ht="25" customHeight="1" x14ac:dyDescent="0.15">
      <c r="A299" s="57" cm="1">
        <f t="array" ref="A299">INDEX(clean_weekly_data!$A:$A,$E299)+MOD(ROW()-2,7)</f>
        <v>45953</v>
      </c>
      <c r="B299" s="39" t="str">
        <f t="shared" si="12"/>
        <v>Thursday</v>
      </c>
      <c r="C299" s="58" cm="1">
        <f t="array" ref="C299">INDEX(clean_weekly_data!$C:$I,$E299,MOD(ROW()-2,7)+1)</f>
        <v>4409</v>
      </c>
      <c r="D299" s="57" t="str">
        <f t="shared" si="14"/>
        <v>Oct 2025</v>
      </c>
      <c r="E299" s="39">
        <f t="shared" si="13"/>
        <v>44</v>
      </c>
    </row>
    <row r="300" spans="1:5" ht="25" customHeight="1" x14ac:dyDescent="0.15">
      <c r="A300" s="57" cm="1">
        <f t="array" ref="A300">INDEX(clean_weekly_data!$A:$A,$E300)+MOD(ROW()-2,7)</f>
        <v>45954</v>
      </c>
      <c r="B300" s="39" t="str">
        <f t="shared" si="12"/>
        <v>Friday</v>
      </c>
      <c r="C300" s="58" cm="1">
        <f t="array" ref="C300">INDEX(clean_weekly_data!$C:$I,$E300,MOD(ROW()-2,7)+1)</f>
        <v>11477</v>
      </c>
      <c r="D300" s="57" t="str">
        <f t="shared" si="14"/>
        <v>Oct 2025</v>
      </c>
      <c r="E300" s="39">
        <f t="shared" si="13"/>
        <v>44</v>
      </c>
    </row>
    <row r="301" spans="1:5" ht="25" customHeight="1" x14ac:dyDescent="0.15">
      <c r="A301" s="57" cm="1">
        <f t="array" ref="A301">INDEX(clean_weekly_data!$A:$A,$E301)+MOD(ROW()-2,7)</f>
        <v>45955</v>
      </c>
      <c r="B301" s="39" t="str">
        <f t="shared" si="12"/>
        <v>Saturday</v>
      </c>
      <c r="C301" s="58" cm="1">
        <f t="array" ref="C301">INDEX(clean_weekly_data!$C:$I,$E301,MOD(ROW()-2,7)+1)</f>
        <v>13747</v>
      </c>
      <c r="D301" s="57" t="str">
        <f t="shared" si="14"/>
        <v>Oct 2025</v>
      </c>
      <c r="E301" s="39">
        <f t="shared" si="13"/>
        <v>44</v>
      </c>
    </row>
    <row r="302" spans="1:5" ht="25" customHeight="1" x14ac:dyDescent="0.15">
      <c r="A302" s="57" cm="1">
        <f t="array" ref="A302">INDEX(clean_weekly_data!$A:$A,$E302)+MOD(ROW()-2,7)</f>
        <v>45956</v>
      </c>
      <c r="B302" s="39" t="str">
        <f t="shared" si="12"/>
        <v>Sunday</v>
      </c>
      <c r="C302" s="58" cm="1">
        <f t="array" ref="C302">INDEX(clean_weekly_data!$C:$I,$E302,MOD(ROW()-2,7)+1)</f>
        <v>5533</v>
      </c>
      <c r="D302" s="57" t="str">
        <f t="shared" si="14"/>
        <v>Oct 2025</v>
      </c>
      <c r="E302" s="39">
        <f t="shared" si="13"/>
        <v>44</v>
      </c>
    </row>
    <row r="303" spans="1:5" ht="25" customHeight="1" x14ac:dyDescent="0.15">
      <c r="A303" s="57" cm="1">
        <f t="array" ref="A303">INDEX(clean_weekly_data!$A:$A,$E303)+MOD(ROW()-2,7)</f>
        <v>45957</v>
      </c>
      <c r="B303" s="39" t="str">
        <f t="shared" si="12"/>
        <v>Monday</v>
      </c>
      <c r="C303" s="58" cm="1">
        <f t="array" ref="C303">INDEX(clean_weekly_data!$C:$I,$E303,MOD(ROW()-2,7)+1)</f>
        <v>3461</v>
      </c>
      <c r="D303" s="57" t="str">
        <f t="shared" si="14"/>
        <v>Oct 2025</v>
      </c>
      <c r="E303" s="39">
        <f t="shared" si="13"/>
        <v>45</v>
      </c>
    </row>
    <row r="304" spans="1:5" ht="25" customHeight="1" x14ac:dyDescent="0.15">
      <c r="A304" s="57" cm="1">
        <f t="array" ref="A304">INDEX(clean_weekly_data!$A:$A,$E304)+MOD(ROW()-2,7)</f>
        <v>45958</v>
      </c>
      <c r="B304" s="39" t="str">
        <f t="shared" si="12"/>
        <v>Tuesday</v>
      </c>
      <c r="C304" s="58" cm="1">
        <f t="array" ref="C304">INDEX(clean_weekly_data!$C:$I,$E304,MOD(ROW()-2,7)+1)</f>
        <v>2532</v>
      </c>
      <c r="D304" s="57" t="str">
        <f t="shared" si="14"/>
        <v>Oct 2025</v>
      </c>
      <c r="E304" s="39">
        <f t="shared" si="13"/>
        <v>45</v>
      </c>
    </row>
    <row r="305" spans="1:5" ht="25" customHeight="1" x14ac:dyDescent="0.15">
      <c r="A305" s="57" cm="1">
        <f t="array" ref="A305">INDEX(clean_weekly_data!$A:$A,$E305)+MOD(ROW()-2,7)</f>
        <v>45959</v>
      </c>
      <c r="B305" s="39" t="str">
        <f t="shared" si="12"/>
        <v>Wednesday</v>
      </c>
      <c r="C305" s="58" cm="1">
        <f t="array" ref="C305">INDEX(clean_weekly_data!$C:$I,$E305,MOD(ROW()-2,7)+1)</f>
        <v>3353</v>
      </c>
      <c r="D305" s="57" t="str">
        <f t="shared" si="14"/>
        <v>Oct 2025</v>
      </c>
      <c r="E305" s="39">
        <f t="shared" si="13"/>
        <v>45</v>
      </c>
    </row>
    <row r="306" spans="1:5" ht="25" customHeight="1" x14ac:dyDescent="0.15">
      <c r="A306" s="57" cm="1">
        <f t="array" ref="A306">INDEX(clean_weekly_data!$A:$A,$E306)+MOD(ROW()-2,7)</f>
        <v>45960</v>
      </c>
      <c r="B306" s="39" t="str">
        <f t="shared" si="12"/>
        <v>Thursday</v>
      </c>
      <c r="C306" s="58" cm="1">
        <f t="array" ref="C306">INDEX(clean_weekly_data!$C:$I,$E306,MOD(ROW()-2,7)+1)</f>
        <v>3623</v>
      </c>
      <c r="D306" s="57" t="str">
        <f t="shared" si="14"/>
        <v>Oct 2025</v>
      </c>
      <c r="E306" s="39">
        <f t="shared" si="13"/>
        <v>45</v>
      </c>
    </row>
    <row r="307" spans="1:5" ht="25" customHeight="1" x14ac:dyDescent="0.15">
      <c r="A307" s="57" cm="1">
        <f t="array" ref="A307">INDEX(clean_weekly_data!$A:$A,$E307)+MOD(ROW()-2,7)</f>
        <v>45961</v>
      </c>
      <c r="B307" s="39" t="str">
        <f t="shared" si="12"/>
        <v>Friday</v>
      </c>
      <c r="C307" s="58" cm="1">
        <f t="array" ref="C307">INDEX(clean_weekly_data!$C:$I,$E307,MOD(ROW()-2,7)+1)</f>
        <v>5733</v>
      </c>
      <c r="D307" s="57" t="str">
        <f t="shared" si="14"/>
        <v>Oct 2025</v>
      </c>
      <c r="E307" s="39">
        <f t="shared" si="13"/>
        <v>45</v>
      </c>
    </row>
    <row r="308" spans="1:5" ht="25" customHeight="1" x14ac:dyDescent="0.15">
      <c r="A308" s="57" cm="1">
        <f t="array" ref="A308">INDEX(clean_weekly_data!$A:$A,$E308)+MOD(ROW()-2,7)</f>
        <v>45962</v>
      </c>
      <c r="B308" s="39" t="str">
        <f t="shared" si="12"/>
        <v>Saturday</v>
      </c>
      <c r="C308" s="58" cm="1">
        <f t="array" ref="C308">INDEX(clean_weekly_data!$C:$I,$E308,MOD(ROW()-2,7)+1)</f>
        <v>12342</v>
      </c>
      <c r="D308" s="57" t="str">
        <f t="shared" si="14"/>
        <v>Nov 2025</v>
      </c>
      <c r="E308" s="39">
        <f t="shared" si="13"/>
        <v>45</v>
      </c>
    </row>
    <row r="309" spans="1:5" ht="25" customHeight="1" x14ac:dyDescent="0.15">
      <c r="A309" s="57" cm="1">
        <f t="array" ref="A309">INDEX(clean_weekly_data!$A:$A,$E309)+MOD(ROW()-2,7)</f>
        <v>45963</v>
      </c>
      <c r="B309" s="39" t="str">
        <f t="shared" si="12"/>
        <v>Sunday</v>
      </c>
      <c r="C309" s="58" cm="1">
        <f t="array" ref="C309">INDEX(clean_weekly_data!$C:$I,$E309,MOD(ROW()-2,7)+1)</f>
        <v>4005</v>
      </c>
      <c r="D309" s="57" t="str">
        <f t="shared" si="14"/>
        <v>Nov 2025</v>
      </c>
      <c r="E309" s="39">
        <f t="shared" si="13"/>
        <v>45</v>
      </c>
    </row>
    <row r="310" spans="1:5" ht="25" customHeight="1" x14ac:dyDescent="0.15">
      <c r="A310" s="57" cm="1">
        <f t="array" ref="A310">INDEX(clean_weekly_data!$A:$A,$E310)+MOD(ROW()-2,7)</f>
        <v>45964</v>
      </c>
      <c r="B310" s="39" t="str">
        <f t="shared" si="12"/>
        <v>Monday</v>
      </c>
      <c r="C310" s="58" cm="1">
        <f t="array" ref="C310">INDEX(clean_weekly_data!$C:$I,$E310,MOD(ROW()-2,7)+1)</f>
        <v>2245</v>
      </c>
      <c r="D310" s="57" t="str">
        <f t="shared" si="14"/>
        <v>Nov 2025</v>
      </c>
      <c r="E310" s="39">
        <f t="shared" si="13"/>
        <v>46</v>
      </c>
    </row>
    <row r="311" spans="1:5" ht="25" customHeight="1" x14ac:dyDescent="0.15">
      <c r="A311" s="57" cm="1">
        <f t="array" ref="A311">INDEX(clean_weekly_data!$A:$A,$E311)+MOD(ROW()-2,7)</f>
        <v>45965</v>
      </c>
      <c r="B311" s="39" t="str">
        <f t="shared" si="12"/>
        <v>Tuesday</v>
      </c>
      <c r="C311" s="58" cm="1">
        <f t="array" ref="C311">INDEX(clean_weekly_data!$C:$I,$E311,MOD(ROW()-2,7)+1)</f>
        <v>2561</v>
      </c>
      <c r="D311" s="57" t="str">
        <f t="shared" si="14"/>
        <v>Nov 2025</v>
      </c>
      <c r="E311" s="39">
        <f t="shared" si="13"/>
        <v>46</v>
      </c>
    </row>
    <row r="312" spans="1:5" ht="25" customHeight="1" x14ac:dyDescent="0.15">
      <c r="A312" s="57" cm="1">
        <f t="array" ref="A312">INDEX(clean_weekly_data!$A:$A,$E312)+MOD(ROW()-2,7)</f>
        <v>45966</v>
      </c>
      <c r="B312" s="39" t="str">
        <f t="shared" si="12"/>
        <v>Wednesday</v>
      </c>
      <c r="C312" s="58" cm="1">
        <f t="array" ref="C312">INDEX(clean_weekly_data!$C:$I,$E312,MOD(ROW()-2,7)+1)</f>
        <v>1389</v>
      </c>
      <c r="D312" s="57" t="str">
        <f t="shared" si="14"/>
        <v>Nov 2025</v>
      </c>
      <c r="E312" s="39">
        <f t="shared" si="13"/>
        <v>46</v>
      </c>
    </row>
    <row r="313" spans="1:5" ht="25" customHeight="1" x14ac:dyDescent="0.15">
      <c r="A313" s="57" cm="1">
        <f t="array" ref="A313">INDEX(clean_weekly_data!$A:$A,$E313)+MOD(ROW()-2,7)</f>
        <v>45967</v>
      </c>
      <c r="B313" s="39" t="str">
        <f t="shared" si="12"/>
        <v>Thursday</v>
      </c>
      <c r="C313" s="58" cm="1">
        <f t="array" ref="C313">INDEX(clean_weekly_data!$C:$I,$E313,MOD(ROW()-2,7)+1)</f>
        <v>3618</v>
      </c>
      <c r="D313" s="57" t="str">
        <f t="shared" si="14"/>
        <v>Nov 2025</v>
      </c>
      <c r="E313" s="39">
        <f t="shared" si="13"/>
        <v>46</v>
      </c>
    </row>
    <row r="314" spans="1:5" ht="25" customHeight="1" x14ac:dyDescent="0.15">
      <c r="A314" s="57" cm="1">
        <f t="array" ref="A314">INDEX(clean_weekly_data!$A:$A,$E314)+MOD(ROW()-2,7)</f>
        <v>45968</v>
      </c>
      <c r="B314" s="39" t="str">
        <f t="shared" si="12"/>
        <v>Friday</v>
      </c>
      <c r="C314" s="58" cm="1">
        <f t="array" ref="C314">INDEX(clean_weekly_data!$C:$I,$E314,MOD(ROW()-2,7)+1)</f>
        <v>12908</v>
      </c>
      <c r="D314" s="57" t="str">
        <f t="shared" si="14"/>
        <v>Nov 2025</v>
      </c>
      <c r="E314" s="39">
        <f t="shared" si="13"/>
        <v>46</v>
      </c>
    </row>
    <row r="315" spans="1:5" ht="25" customHeight="1" x14ac:dyDescent="0.15">
      <c r="A315" s="57" cm="1">
        <f t="array" ref="A315">INDEX(clean_weekly_data!$A:$A,$E315)+MOD(ROW()-2,7)</f>
        <v>45969</v>
      </c>
      <c r="B315" s="39" t="str">
        <f t="shared" si="12"/>
        <v>Saturday</v>
      </c>
      <c r="C315" s="58" cm="1">
        <f t="array" ref="C315">INDEX(clean_weekly_data!$C:$I,$E315,MOD(ROW()-2,7)+1)</f>
        <v>12546</v>
      </c>
      <c r="D315" s="57" t="str">
        <f t="shared" si="14"/>
        <v>Nov 2025</v>
      </c>
      <c r="E315" s="39">
        <f t="shared" si="13"/>
        <v>46</v>
      </c>
    </row>
    <row r="316" spans="1:5" ht="25" customHeight="1" x14ac:dyDescent="0.15">
      <c r="A316" s="57" cm="1">
        <f t="array" ref="A316">INDEX(clean_weekly_data!$A:$A,$E316)+MOD(ROW()-2,7)</f>
        <v>45970</v>
      </c>
      <c r="B316" s="39" t="str">
        <f t="shared" si="12"/>
        <v>Sunday</v>
      </c>
      <c r="C316" s="58" cm="1">
        <f t="array" ref="C316">INDEX(clean_weekly_data!$C:$I,$E316,MOD(ROW()-2,7)+1)</f>
        <v>4186</v>
      </c>
      <c r="D316" s="57" t="str">
        <f t="shared" si="14"/>
        <v>Nov 2025</v>
      </c>
      <c r="E316" s="39">
        <f t="shared" si="13"/>
        <v>46</v>
      </c>
    </row>
    <row r="317" spans="1:5" ht="25" customHeight="1" x14ac:dyDescent="0.15">
      <c r="A317" s="57" cm="1">
        <f t="array" ref="A317">INDEX(clean_weekly_data!$A:$A,$E317)+MOD(ROW()-2,7)</f>
        <v>45971</v>
      </c>
      <c r="B317" s="39" t="str">
        <f t="shared" si="12"/>
        <v>Monday</v>
      </c>
      <c r="C317" s="58" cm="1">
        <f t="array" ref="C317">INDEX(clean_weekly_data!$C:$I,$E317,MOD(ROW()-2,7)+1)</f>
        <v>2601</v>
      </c>
      <c r="D317" s="57" t="str">
        <f t="shared" si="14"/>
        <v>Nov 2025</v>
      </c>
      <c r="E317" s="39">
        <f t="shared" si="13"/>
        <v>47</v>
      </c>
    </row>
    <row r="318" spans="1:5" ht="25" customHeight="1" x14ac:dyDescent="0.15">
      <c r="A318" s="57" cm="1">
        <f t="array" ref="A318">INDEX(clean_weekly_data!$A:$A,$E318)+MOD(ROW()-2,7)</f>
        <v>45972</v>
      </c>
      <c r="B318" s="39" t="str">
        <f t="shared" si="12"/>
        <v>Tuesday</v>
      </c>
      <c r="C318" s="58" cm="1">
        <f t="array" ref="C318">INDEX(clean_weekly_data!$C:$I,$E318,MOD(ROW()-2,7)+1)</f>
        <v>3364</v>
      </c>
      <c r="D318" s="57" t="str">
        <f t="shared" si="14"/>
        <v>Nov 2025</v>
      </c>
      <c r="E318" s="39">
        <f t="shared" si="13"/>
        <v>47</v>
      </c>
    </row>
    <row r="319" spans="1:5" ht="25" customHeight="1" x14ac:dyDescent="0.15">
      <c r="A319" s="57" cm="1">
        <f t="array" ref="A319">INDEX(clean_weekly_data!$A:$A,$E319)+MOD(ROW()-2,7)</f>
        <v>45973</v>
      </c>
      <c r="B319" s="39" t="str">
        <f t="shared" si="12"/>
        <v>Wednesday</v>
      </c>
      <c r="C319" s="58" cm="1">
        <f t="array" ref="C319">INDEX(clean_weekly_data!$C:$I,$E319,MOD(ROW()-2,7)+1)</f>
        <v>3321</v>
      </c>
      <c r="D319" s="57" t="str">
        <f t="shared" si="14"/>
        <v>Nov 2025</v>
      </c>
      <c r="E319" s="39">
        <f t="shared" si="13"/>
        <v>47</v>
      </c>
    </row>
    <row r="320" spans="1:5" ht="25" customHeight="1" x14ac:dyDescent="0.15">
      <c r="A320" s="57" cm="1">
        <f t="array" ref="A320">INDEX(clean_weekly_data!$A:$A,$E320)+MOD(ROW()-2,7)</f>
        <v>45974</v>
      </c>
      <c r="B320" s="39" t="str">
        <f t="shared" si="12"/>
        <v>Thursday</v>
      </c>
      <c r="C320" s="58" cm="1">
        <f t="array" ref="C320">INDEX(clean_weekly_data!$C:$I,$E320,MOD(ROW()-2,7)+1)</f>
        <v>5952</v>
      </c>
      <c r="D320" s="57" t="str">
        <f t="shared" si="14"/>
        <v>Nov 2025</v>
      </c>
      <c r="E320" s="39">
        <f t="shared" si="13"/>
        <v>47</v>
      </c>
    </row>
    <row r="321" spans="1:5" ht="25" customHeight="1" x14ac:dyDescent="0.15">
      <c r="A321" s="57" cm="1">
        <f t="array" ref="A321">INDEX(clean_weekly_data!$A:$A,$E321)+MOD(ROW()-2,7)</f>
        <v>45975</v>
      </c>
      <c r="B321" s="39" t="str">
        <f t="shared" si="12"/>
        <v>Friday</v>
      </c>
      <c r="C321" s="58" cm="1">
        <f t="array" ref="C321">INDEX(clean_weekly_data!$C:$I,$E321,MOD(ROW()-2,7)+1)</f>
        <v>11418</v>
      </c>
      <c r="D321" s="57" t="str">
        <f t="shared" si="14"/>
        <v>Nov 2025</v>
      </c>
      <c r="E321" s="39">
        <f t="shared" si="13"/>
        <v>47</v>
      </c>
    </row>
    <row r="322" spans="1:5" ht="25" customHeight="1" x14ac:dyDescent="0.15">
      <c r="A322" s="57" cm="1">
        <f t="array" ref="A322">INDEX(clean_weekly_data!$A:$A,$E322)+MOD(ROW()-2,7)</f>
        <v>45976</v>
      </c>
      <c r="B322" s="39" t="str">
        <f t="shared" si="12"/>
        <v>Saturday</v>
      </c>
      <c r="C322" s="58" cm="1">
        <f t="array" ref="C322">INDEX(clean_weekly_data!$C:$I,$E322,MOD(ROW()-2,7)+1)</f>
        <v>13674</v>
      </c>
      <c r="D322" s="57" t="str">
        <f t="shared" si="14"/>
        <v>Nov 2025</v>
      </c>
      <c r="E322" s="39">
        <f t="shared" si="13"/>
        <v>47</v>
      </c>
    </row>
    <row r="323" spans="1:5" ht="25" customHeight="1" x14ac:dyDescent="0.15">
      <c r="A323" s="57" cm="1">
        <f t="array" ref="A323">INDEX(clean_weekly_data!$A:$A,$E323)+MOD(ROW()-2,7)</f>
        <v>45977</v>
      </c>
      <c r="B323" s="39" t="str">
        <f t="shared" ref="B323:B386" si="15">CHOOSE(MOD(ROW()-2,7)+1,"Monday","Tuesday","Wednesday","Thursday","Friday","Saturday","Sunday")</f>
        <v>Sunday</v>
      </c>
      <c r="C323" s="58" cm="1">
        <f t="array" ref="C323">INDEX(clean_weekly_data!$C:$I,$E323,MOD(ROW()-2,7)+1)</f>
        <v>4308</v>
      </c>
      <c r="D323" s="57" t="str">
        <f t="shared" si="14"/>
        <v>Nov 2025</v>
      </c>
      <c r="E323" s="39">
        <f t="shared" ref="E323:E386" si="16">INT((ROW()-2)/7)+2</f>
        <v>47</v>
      </c>
    </row>
    <row r="324" spans="1:5" ht="25" customHeight="1" x14ac:dyDescent="0.15">
      <c r="A324" s="57" cm="1">
        <f t="array" ref="A324">INDEX(clean_weekly_data!$A:$A,$E324)+MOD(ROW()-2,7)</f>
        <v>45978</v>
      </c>
      <c r="B324" s="39" t="str">
        <f t="shared" si="15"/>
        <v>Monday</v>
      </c>
      <c r="C324" s="58" cm="1">
        <f t="array" ref="C324">INDEX(clean_weekly_data!$C:$I,$E324,MOD(ROW()-2,7)+1)</f>
        <v>2536</v>
      </c>
      <c r="D324" s="57" t="str">
        <f t="shared" si="14"/>
        <v>Nov 2025</v>
      </c>
      <c r="E324" s="39">
        <f t="shared" si="16"/>
        <v>48</v>
      </c>
    </row>
    <row r="325" spans="1:5" ht="25" customHeight="1" x14ac:dyDescent="0.15">
      <c r="A325" s="57" cm="1">
        <f t="array" ref="A325">INDEX(clean_weekly_data!$A:$A,$E325)+MOD(ROW()-2,7)</f>
        <v>45979</v>
      </c>
      <c r="B325" s="39" t="str">
        <f t="shared" si="15"/>
        <v>Tuesday</v>
      </c>
      <c r="C325" s="58" cm="1">
        <f t="array" ref="C325">INDEX(clean_weekly_data!$C:$I,$E325,MOD(ROW()-2,7)+1)</f>
        <v>1741</v>
      </c>
      <c r="D325" s="57" t="str">
        <f t="shared" si="14"/>
        <v>Nov 2025</v>
      </c>
      <c r="E325" s="39">
        <f t="shared" si="16"/>
        <v>48</v>
      </c>
    </row>
    <row r="326" spans="1:5" ht="25" customHeight="1" x14ac:dyDescent="0.15">
      <c r="A326" s="57" cm="1">
        <f t="array" ref="A326">INDEX(clean_weekly_data!$A:$A,$E326)+MOD(ROW()-2,7)</f>
        <v>45980</v>
      </c>
      <c r="B326" s="39" t="str">
        <f t="shared" si="15"/>
        <v>Wednesday</v>
      </c>
      <c r="C326" s="58" cm="1">
        <f t="array" ref="C326">INDEX(clean_weekly_data!$C:$I,$E326,MOD(ROW()-2,7)+1)</f>
        <v>2386</v>
      </c>
      <c r="D326" s="57" t="str">
        <f t="shared" si="14"/>
        <v>Nov 2025</v>
      </c>
      <c r="E326" s="39">
        <f t="shared" si="16"/>
        <v>48</v>
      </c>
    </row>
    <row r="327" spans="1:5" ht="25" customHeight="1" x14ac:dyDescent="0.15">
      <c r="A327" s="57" cm="1">
        <f t="array" ref="A327">INDEX(clean_weekly_data!$A:$A,$E327)+MOD(ROW()-2,7)</f>
        <v>45981</v>
      </c>
      <c r="B327" s="39" t="str">
        <f t="shared" si="15"/>
        <v>Thursday</v>
      </c>
      <c r="C327" s="58" cm="1">
        <f t="array" ref="C327">INDEX(clean_weekly_data!$C:$I,$E327,MOD(ROW()-2,7)+1)</f>
        <v>5095</v>
      </c>
      <c r="D327" s="57" t="str">
        <f t="shared" si="14"/>
        <v>Nov 2025</v>
      </c>
      <c r="E327" s="39">
        <f t="shared" si="16"/>
        <v>48</v>
      </c>
    </row>
    <row r="328" spans="1:5" ht="25" customHeight="1" x14ac:dyDescent="0.15">
      <c r="A328" s="57" cm="1">
        <f t="array" ref="A328">INDEX(clean_weekly_data!$A:$A,$E328)+MOD(ROW()-2,7)</f>
        <v>45982</v>
      </c>
      <c r="B328" s="39" t="str">
        <f t="shared" si="15"/>
        <v>Friday</v>
      </c>
      <c r="C328" s="58" cm="1">
        <f t="array" ref="C328">INDEX(clean_weekly_data!$C:$I,$E328,MOD(ROW()-2,7)+1)</f>
        <v>12000</v>
      </c>
      <c r="D328" s="57" t="str">
        <f t="shared" si="14"/>
        <v>Nov 2025</v>
      </c>
      <c r="E328" s="39">
        <f t="shared" si="16"/>
        <v>48</v>
      </c>
    </row>
    <row r="329" spans="1:5" ht="25" customHeight="1" x14ac:dyDescent="0.15">
      <c r="A329" s="57" cm="1">
        <f t="array" ref="A329">INDEX(clean_weekly_data!$A:$A,$E329)+MOD(ROW()-2,7)</f>
        <v>45983</v>
      </c>
      <c r="B329" s="39" t="str">
        <f t="shared" si="15"/>
        <v>Saturday</v>
      </c>
      <c r="C329" s="58" cm="1">
        <f t="array" ref="C329">INDEX(clean_weekly_data!$C:$I,$E329,MOD(ROW()-2,7)+1)</f>
        <v>9924</v>
      </c>
      <c r="D329" s="57" t="str">
        <f t="shared" si="14"/>
        <v>Nov 2025</v>
      </c>
      <c r="E329" s="39">
        <f t="shared" si="16"/>
        <v>48</v>
      </c>
    </row>
    <row r="330" spans="1:5" ht="25" customHeight="1" x14ac:dyDescent="0.15">
      <c r="A330" s="57" cm="1">
        <f t="array" ref="A330">INDEX(clean_weekly_data!$A:$A,$E330)+MOD(ROW()-2,7)</f>
        <v>45984</v>
      </c>
      <c r="B330" s="39" t="str">
        <f t="shared" si="15"/>
        <v>Sunday</v>
      </c>
      <c r="C330" s="58" cm="1">
        <f t="array" ref="C330">INDEX(clean_weekly_data!$C:$I,$E330,MOD(ROW()-2,7)+1)</f>
        <v>5784</v>
      </c>
      <c r="D330" s="57" t="str">
        <f t="shared" si="14"/>
        <v>Nov 2025</v>
      </c>
      <c r="E330" s="39">
        <f t="shared" si="16"/>
        <v>48</v>
      </c>
    </row>
    <row r="331" spans="1:5" ht="25" customHeight="1" x14ac:dyDescent="0.15">
      <c r="A331" s="57" cm="1">
        <f t="array" ref="A331">INDEX(clean_weekly_data!$A:$A,$E331)+MOD(ROW()-2,7)</f>
        <v>45985</v>
      </c>
      <c r="B331" s="39" t="str">
        <f t="shared" si="15"/>
        <v>Monday</v>
      </c>
      <c r="C331" s="58" cm="1">
        <f t="array" ref="C331">INDEX(clean_weekly_data!$C:$I,$E331,MOD(ROW()-2,7)+1)</f>
        <v>6811</v>
      </c>
      <c r="D331" s="57" t="str">
        <f t="shared" si="14"/>
        <v>Nov 2025</v>
      </c>
      <c r="E331" s="39">
        <f t="shared" si="16"/>
        <v>49</v>
      </c>
    </row>
    <row r="332" spans="1:5" ht="25" customHeight="1" x14ac:dyDescent="0.15">
      <c r="A332" s="57" cm="1">
        <f t="array" ref="A332">INDEX(clean_weekly_data!$A:$A,$E332)+MOD(ROW()-2,7)</f>
        <v>45986</v>
      </c>
      <c r="B332" s="39" t="str">
        <f t="shared" si="15"/>
        <v>Tuesday</v>
      </c>
      <c r="C332" s="58" cm="1">
        <f t="array" ref="C332">INDEX(clean_weekly_data!$C:$I,$E332,MOD(ROW()-2,7)+1)</f>
        <v>3222</v>
      </c>
      <c r="D332" s="57" t="str">
        <f t="shared" si="14"/>
        <v>Nov 2025</v>
      </c>
      <c r="E332" s="39">
        <f t="shared" si="16"/>
        <v>49</v>
      </c>
    </row>
    <row r="333" spans="1:5" ht="25" customHeight="1" x14ac:dyDescent="0.15">
      <c r="A333" s="57" cm="1">
        <f t="array" ref="A333">INDEX(clean_weekly_data!$A:$A,$E333)+MOD(ROW()-2,7)</f>
        <v>45987</v>
      </c>
      <c r="B333" s="39" t="str">
        <f t="shared" si="15"/>
        <v>Wednesday</v>
      </c>
      <c r="C333" s="58" cm="1">
        <f t="array" ref="C333">INDEX(clean_weekly_data!$C:$I,$E333,MOD(ROW()-2,7)+1)</f>
        <v>6388</v>
      </c>
      <c r="D333" s="57" t="str">
        <f t="shared" si="14"/>
        <v>Nov 2025</v>
      </c>
      <c r="E333" s="39">
        <f t="shared" si="16"/>
        <v>49</v>
      </c>
    </row>
    <row r="334" spans="1:5" ht="25" customHeight="1" x14ac:dyDescent="0.15">
      <c r="A334" s="57" cm="1">
        <f t="array" ref="A334">INDEX(clean_weekly_data!$A:$A,$E334)+MOD(ROW()-2,7)</f>
        <v>45988</v>
      </c>
      <c r="B334" s="39" t="str">
        <f t="shared" si="15"/>
        <v>Thursday</v>
      </c>
      <c r="C334" s="58" cm="1">
        <f t="array" ref="C334">INDEX(clean_weekly_data!$C:$I,$E334,MOD(ROW()-2,7)+1)</f>
        <v>0</v>
      </c>
      <c r="D334" s="57" t="str">
        <f t="shared" si="14"/>
        <v>Nov 2025</v>
      </c>
      <c r="E334" s="39">
        <f t="shared" si="16"/>
        <v>49</v>
      </c>
    </row>
    <row r="335" spans="1:5" ht="25" customHeight="1" x14ac:dyDescent="0.15">
      <c r="A335" s="57" cm="1">
        <f t="array" ref="A335">INDEX(clean_weekly_data!$A:$A,$E335)+MOD(ROW()-2,7)</f>
        <v>45989</v>
      </c>
      <c r="B335" s="39" t="str">
        <f t="shared" si="15"/>
        <v>Friday</v>
      </c>
      <c r="C335" s="58" cm="1">
        <f t="array" ref="C335">INDEX(clean_weekly_data!$C:$I,$E335,MOD(ROW()-2,7)+1)</f>
        <v>9901</v>
      </c>
      <c r="D335" s="57" t="str">
        <f t="shared" si="14"/>
        <v>Nov 2025</v>
      </c>
      <c r="E335" s="39">
        <f t="shared" si="16"/>
        <v>49</v>
      </c>
    </row>
    <row r="336" spans="1:5" ht="25" customHeight="1" x14ac:dyDescent="0.15">
      <c r="A336" s="57" cm="1">
        <f t="array" ref="A336">INDEX(clean_weekly_data!$A:$A,$E336)+MOD(ROW()-2,7)</f>
        <v>45990</v>
      </c>
      <c r="B336" s="39" t="str">
        <f t="shared" si="15"/>
        <v>Saturday</v>
      </c>
      <c r="C336" s="58" cm="1">
        <f t="array" ref="C336">INDEX(clean_weekly_data!$C:$I,$E336,MOD(ROW()-2,7)+1)</f>
        <v>5990</v>
      </c>
      <c r="D336" s="57" t="str">
        <f t="shared" si="14"/>
        <v>Nov 2025</v>
      </c>
      <c r="E336" s="39">
        <f t="shared" si="16"/>
        <v>49</v>
      </c>
    </row>
    <row r="337" spans="1:5" ht="25" customHeight="1" x14ac:dyDescent="0.15">
      <c r="A337" s="57" cm="1">
        <f t="array" ref="A337">INDEX(clean_weekly_data!$A:$A,$E337)+MOD(ROW()-2,7)</f>
        <v>45991</v>
      </c>
      <c r="B337" s="39" t="str">
        <f t="shared" si="15"/>
        <v>Sunday</v>
      </c>
      <c r="C337" s="58" cm="1">
        <f t="array" ref="C337">INDEX(clean_weekly_data!$C:$I,$E337,MOD(ROW()-2,7)+1)</f>
        <v>4659</v>
      </c>
      <c r="D337" s="57" t="str">
        <f t="shared" si="14"/>
        <v>Nov 2025</v>
      </c>
      <c r="E337" s="39">
        <f t="shared" si="16"/>
        <v>49</v>
      </c>
    </row>
    <row r="338" spans="1:5" ht="25" customHeight="1" x14ac:dyDescent="0.15">
      <c r="A338" s="57" cm="1">
        <f t="array" ref="A338">INDEX(clean_weekly_data!$A:$A,$E338)+MOD(ROW()-2,7)</f>
        <v>45992</v>
      </c>
      <c r="B338" s="39" t="str">
        <f t="shared" si="15"/>
        <v>Monday</v>
      </c>
      <c r="C338" s="58" cm="1">
        <f t="array" ref="C338">INDEX(clean_weekly_data!$C:$I,$E338,MOD(ROW()-2,7)+1)</f>
        <v>1686</v>
      </c>
      <c r="D338" s="57" t="str">
        <f t="shared" si="14"/>
        <v>Dec 2025</v>
      </c>
      <c r="E338" s="39">
        <f t="shared" si="16"/>
        <v>50</v>
      </c>
    </row>
    <row r="339" spans="1:5" ht="25" customHeight="1" x14ac:dyDescent="0.15">
      <c r="A339" s="57" cm="1">
        <f t="array" ref="A339">INDEX(clean_weekly_data!$A:$A,$E339)+MOD(ROW()-2,7)</f>
        <v>45993</v>
      </c>
      <c r="B339" s="39" t="str">
        <f t="shared" si="15"/>
        <v>Tuesday</v>
      </c>
      <c r="C339" s="58" cm="1">
        <f t="array" ref="C339">INDEX(clean_weekly_data!$C:$I,$E339,MOD(ROW()-2,7)+1)</f>
        <v>1127</v>
      </c>
      <c r="D339" s="57" t="str">
        <f t="shared" si="14"/>
        <v>Dec 2025</v>
      </c>
      <c r="E339" s="39">
        <f t="shared" si="16"/>
        <v>50</v>
      </c>
    </row>
    <row r="340" spans="1:5" ht="25" customHeight="1" x14ac:dyDescent="0.15">
      <c r="A340" s="57" cm="1">
        <f t="array" ref="A340">INDEX(clean_weekly_data!$A:$A,$E340)+MOD(ROW()-2,7)</f>
        <v>45994</v>
      </c>
      <c r="B340" s="39" t="str">
        <f t="shared" si="15"/>
        <v>Wednesday</v>
      </c>
      <c r="C340" s="58" cm="1">
        <f t="array" ref="C340">INDEX(clean_weekly_data!$C:$I,$E340,MOD(ROW()-2,7)+1)</f>
        <v>2939</v>
      </c>
      <c r="D340" s="57" t="str">
        <f t="shared" si="14"/>
        <v>Dec 2025</v>
      </c>
      <c r="E340" s="39">
        <f t="shared" si="16"/>
        <v>50</v>
      </c>
    </row>
    <row r="341" spans="1:5" ht="25" customHeight="1" x14ac:dyDescent="0.15">
      <c r="A341" s="57" cm="1">
        <f t="array" ref="A341">INDEX(clean_weekly_data!$A:$A,$E341)+MOD(ROW()-2,7)</f>
        <v>45995</v>
      </c>
      <c r="B341" s="39" t="str">
        <f t="shared" si="15"/>
        <v>Thursday</v>
      </c>
      <c r="C341" s="58" cm="1">
        <f t="array" ref="C341">INDEX(clean_weekly_data!$C:$I,$E341,MOD(ROW()-2,7)+1)</f>
        <v>4035</v>
      </c>
      <c r="D341" s="57" t="str">
        <f t="shared" si="14"/>
        <v>Dec 2025</v>
      </c>
      <c r="E341" s="39">
        <f t="shared" si="16"/>
        <v>50</v>
      </c>
    </row>
    <row r="342" spans="1:5" ht="25" customHeight="1" x14ac:dyDescent="0.15">
      <c r="A342" s="57" cm="1">
        <f t="array" ref="A342">INDEX(clean_weekly_data!$A:$A,$E342)+MOD(ROW()-2,7)</f>
        <v>45996</v>
      </c>
      <c r="B342" s="39" t="str">
        <f t="shared" si="15"/>
        <v>Friday</v>
      </c>
      <c r="C342" s="58" cm="1">
        <f t="array" ref="C342">INDEX(clean_weekly_data!$C:$I,$E342,MOD(ROW()-2,7)+1)</f>
        <v>10449</v>
      </c>
      <c r="D342" s="57" t="str">
        <f t="shared" si="14"/>
        <v>Dec 2025</v>
      </c>
      <c r="E342" s="39">
        <f t="shared" si="16"/>
        <v>50</v>
      </c>
    </row>
    <row r="343" spans="1:5" ht="25" customHeight="1" x14ac:dyDescent="0.15">
      <c r="A343" s="57" cm="1">
        <f t="array" ref="A343">INDEX(clean_weekly_data!$A:$A,$E343)+MOD(ROW()-2,7)</f>
        <v>45997</v>
      </c>
      <c r="B343" s="39" t="str">
        <f t="shared" si="15"/>
        <v>Saturday</v>
      </c>
      <c r="C343" s="58" cm="1">
        <f t="array" ref="C343">INDEX(clean_weekly_data!$C:$I,$E343,MOD(ROW()-2,7)+1)</f>
        <v>9141</v>
      </c>
      <c r="D343" s="57" t="str">
        <f t="shared" si="14"/>
        <v>Dec 2025</v>
      </c>
      <c r="E343" s="39">
        <f t="shared" si="16"/>
        <v>50</v>
      </c>
    </row>
    <row r="344" spans="1:5" ht="25" customHeight="1" x14ac:dyDescent="0.15">
      <c r="A344" s="57" cm="1">
        <f t="array" ref="A344">INDEX(clean_weekly_data!$A:$A,$E344)+MOD(ROW()-2,7)</f>
        <v>45998</v>
      </c>
      <c r="B344" s="39" t="str">
        <f t="shared" si="15"/>
        <v>Sunday</v>
      </c>
      <c r="C344" s="58" cm="1">
        <f t="array" ref="C344">INDEX(clean_weekly_data!$C:$I,$E344,MOD(ROW()-2,7)+1)</f>
        <v>2539</v>
      </c>
      <c r="D344" s="57" t="str">
        <f t="shared" si="14"/>
        <v>Dec 2025</v>
      </c>
      <c r="E344" s="39">
        <f t="shared" si="16"/>
        <v>50</v>
      </c>
    </row>
    <row r="345" spans="1:5" ht="25" customHeight="1" x14ac:dyDescent="0.15">
      <c r="A345" s="57" cm="1">
        <f t="array" ref="A345">INDEX(clean_weekly_data!$A:$A,$E345)+MOD(ROW()-2,7)</f>
        <v>45999</v>
      </c>
      <c r="B345" s="39" t="str">
        <f t="shared" si="15"/>
        <v>Monday</v>
      </c>
      <c r="C345" s="58" cm="1">
        <f t="array" ref="C345">INDEX(clean_weekly_data!$C:$I,$E345,MOD(ROW()-2,7)+1)</f>
        <v>2088</v>
      </c>
      <c r="D345" s="57" t="str">
        <f t="shared" si="14"/>
        <v>Dec 2025</v>
      </c>
      <c r="E345" s="39">
        <f t="shared" si="16"/>
        <v>51</v>
      </c>
    </row>
    <row r="346" spans="1:5" ht="25" customHeight="1" x14ac:dyDescent="0.15">
      <c r="A346" s="57" cm="1">
        <f t="array" ref="A346">INDEX(clean_weekly_data!$A:$A,$E346)+MOD(ROW()-2,7)</f>
        <v>46000</v>
      </c>
      <c r="B346" s="39" t="str">
        <f t="shared" si="15"/>
        <v>Tuesday</v>
      </c>
      <c r="C346" s="58" cm="1">
        <f t="array" ref="C346">INDEX(clean_weekly_data!$C:$I,$E346,MOD(ROW()-2,7)+1)</f>
        <v>1468</v>
      </c>
      <c r="D346" s="57" t="str">
        <f t="shared" si="14"/>
        <v>Dec 2025</v>
      </c>
      <c r="E346" s="39">
        <f t="shared" si="16"/>
        <v>51</v>
      </c>
    </row>
    <row r="347" spans="1:5" ht="25" customHeight="1" x14ac:dyDescent="0.15">
      <c r="A347" s="57" cm="1">
        <f t="array" ref="A347">INDEX(clean_weekly_data!$A:$A,$E347)+MOD(ROW()-2,7)</f>
        <v>46001</v>
      </c>
      <c r="B347" s="39" t="str">
        <f t="shared" si="15"/>
        <v>Wednesday</v>
      </c>
      <c r="C347" s="58" cm="1">
        <f t="array" ref="C347">INDEX(clean_weekly_data!$C:$I,$E347,MOD(ROW()-2,7)+1)</f>
        <v>3216</v>
      </c>
      <c r="D347" s="57" t="str">
        <f t="shared" si="14"/>
        <v>Dec 2025</v>
      </c>
      <c r="E347" s="39">
        <f t="shared" si="16"/>
        <v>51</v>
      </c>
    </row>
    <row r="348" spans="1:5" ht="25" customHeight="1" x14ac:dyDescent="0.15">
      <c r="A348" s="57" cm="1">
        <f t="array" ref="A348">INDEX(clean_weekly_data!$A:$A,$E348)+MOD(ROW()-2,7)</f>
        <v>46002</v>
      </c>
      <c r="B348" s="39" t="str">
        <f t="shared" si="15"/>
        <v>Thursday</v>
      </c>
      <c r="C348" s="58" cm="1">
        <f t="array" ref="C348">INDEX(clean_weekly_data!$C:$I,$E348,MOD(ROW()-2,7)+1)</f>
        <v>4556</v>
      </c>
      <c r="D348" s="57" t="str">
        <f t="shared" si="14"/>
        <v>Dec 2025</v>
      </c>
      <c r="E348" s="39">
        <f t="shared" si="16"/>
        <v>51</v>
      </c>
    </row>
    <row r="349" spans="1:5" ht="25" customHeight="1" x14ac:dyDescent="0.15">
      <c r="A349" s="57" cm="1">
        <f t="array" ref="A349">INDEX(clean_weekly_data!$A:$A,$E349)+MOD(ROW()-2,7)</f>
        <v>46003</v>
      </c>
      <c r="B349" s="39" t="str">
        <f t="shared" si="15"/>
        <v>Friday</v>
      </c>
      <c r="C349" s="58" cm="1">
        <f t="array" ref="C349">INDEX(clean_weekly_data!$C:$I,$E349,MOD(ROW()-2,7)+1)</f>
        <v>12447</v>
      </c>
      <c r="D349" s="57" t="str">
        <f t="shared" si="14"/>
        <v>Dec 2025</v>
      </c>
      <c r="E349" s="39">
        <f t="shared" si="16"/>
        <v>51</v>
      </c>
    </row>
    <row r="350" spans="1:5" ht="25" customHeight="1" x14ac:dyDescent="0.15">
      <c r="A350" s="57" cm="1">
        <f t="array" ref="A350">INDEX(clean_weekly_data!$A:$A,$E350)+MOD(ROW()-2,7)</f>
        <v>46004</v>
      </c>
      <c r="B350" s="39" t="str">
        <f t="shared" si="15"/>
        <v>Saturday</v>
      </c>
      <c r="C350" s="58" cm="1">
        <f t="array" ref="C350">INDEX(clean_weekly_data!$C:$I,$E350,MOD(ROW()-2,7)+1)</f>
        <v>9706</v>
      </c>
      <c r="D350" s="57" t="str">
        <f t="shared" si="14"/>
        <v>Dec 2025</v>
      </c>
      <c r="E350" s="39">
        <f t="shared" si="16"/>
        <v>51</v>
      </c>
    </row>
    <row r="351" spans="1:5" ht="25" customHeight="1" x14ac:dyDescent="0.15">
      <c r="A351" s="57" cm="1">
        <f t="array" ref="A351">INDEX(clean_weekly_data!$A:$A,$E351)+MOD(ROW()-2,7)</f>
        <v>46005</v>
      </c>
      <c r="B351" s="39" t="str">
        <f t="shared" si="15"/>
        <v>Sunday</v>
      </c>
      <c r="C351" s="58" cm="1">
        <f t="array" ref="C351">INDEX(clean_weekly_data!$C:$I,$E351,MOD(ROW()-2,7)+1)</f>
        <v>3866</v>
      </c>
      <c r="D351" s="57" t="str">
        <f t="shared" si="14"/>
        <v>Dec 2025</v>
      </c>
      <c r="E351" s="39">
        <f t="shared" si="16"/>
        <v>51</v>
      </c>
    </row>
    <row r="352" spans="1:5" ht="25" customHeight="1" x14ac:dyDescent="0.15">
      <c r="A352" s="57" cm="1">
        <f t="array" ref="A352">INDEX(clean_weekly_data!$A:$A,$E352)+MOD(ROW()-2,7)</f>
        <v>46006</v>
      </c>
      <c r="B352" s="39" t="str">
        <f t="shared" si="15"/>
        <v>Monday</v>
      </c>
      <c r="C352" s="58" cm="1">
        <f t="array" ref="C352">INDEX(clean_weekly_data!$C:$I,$E352,MOD(ROW()-2,7)+1)</f>
        <v>3103</v>
      </c>
      <c r="D352" s="57" t="str">
        <f t="shared" si="14"/>
        <v>Dec 2025</v>
      </c>
      <c r="E352" s="39">
        <f t="shared" si="16"/>
        <v>52</v>
      </c>
    </row>
    <row r="353" spans="1:5" ht="25" customHeight="1" x14ac:dyDescent="0.15">
      <c r="A353" s="57" cm="1">
        <f t="array" ref="A353">INDEX(clean_weekly_data!$A:$A,$E353)+MOD(ROW()-2,7)</f>
        <v>46007</v>
      </c>
      <c r="B353" s="39" t="str">
        <f t="shared" si="15"/>
        <v>Tuesday</v>
      </c>
      <c r="C353" s="58" cm="1">
        <f t="array" ref="C353">INDEX(clean_weekly_data!$C:$I,$E353,MOD(ROW()-2,7)+1)</f>
        <v>4584</v>
      </c>
      <c r="D353" s="57" t="str">
        <f t="shared" si="14"/>
        <v>Dec 2025</v>
      </c>
      <c r="E353" s="39">
        <f t="shared" si="16"/>
        <v>52</v>
      </c>
    </row>
    <row r="354" spans="1:5" ht="25" customHeight="1" x14ac:dyDescent="0.15">
      <c r="A354" s="57" cm="1">
        <f t="array" ref="A354">INDEX(clean_weekly_data!$A:$A,$E354)+MOD(ROW()-2,7)</f>
        <v>46008</v>
      </c>
      <c r="B354" s="39" t="str">
        <f t="shared" si="15"/>
        <v>Wednesday</v>
      </c>
      <c r="C354" s="58" cm="1">
        <f t="array" ref="C354">INDEX(clean_weekly_data!$C:$I,$E354,MOD(ROW()-2,7)+1)</f>
        <v>3267</v>
      </c>
      <c r="D354" s="57" t="str">
        <f t="shared" si="14"/>
        <v>Dec 2025</v>
      </c>
      <c r="E354" s="39">
        <f t="shared" si="16"/>
        <v>52</v>
      </c>
    </row>
    <row r="355" spans="1:5" ht="25" customHeight="1" x14ac:dyDescent="0.15">
      <c r="A355" s="57" cm="1">
        <f t="array" ref="A355">INDEX(clean_weekly_data!$A:$A,$E355)+MOD(ROW()-2,7)</f>
        <v>46009</v>
      </c>
      <c r="B355" s="39" t="str">
        <f t="shared" si="15"/>
        <v>Thursday</v>
      </c>
      <c r="C355" s="58" cm="1">
        <f t="array" ref="C355">INDEX(clean_weekly_data!$C:$I,$E355,MOD(ROW()-2,7)+1)</f>
        <v>5452</v>
      </c>
      <c r="D355" s="57" t="str">
        <f t="shared" si="14"/>
        <v>Dec 2025</v>
      </c>
      <c r="E355" s="39">
        <f t="shared" si="16"/>
        <v>52</v>
      </c>
    </row>
    <row r="356" spans="1:5" ht="25" customHeight="1" x14ac:dyDescent="0.15">
      <c r="A356" s="57" cm="1">
        <f t="array" ref="A356">INDEX(clean_weekly_data!$A:$A,$E356)+MOD(ROW()-2,7)</f>
        <v>46010</v>
      </c>
      <c r="B356" s="39" t="str">
        <f t="shared" si="15"/>
        <v>Friday</v>
      </c>
      <c r="C356" s="58" cm="1">
        <f t="array" ref="C356">INDEX(clean_weekly_data!$C:$I,$E356,MOD(ROW()-2,7)+1)</f>
        <v>12374</v>
      </c>
      <c r="D356" s="57" t="str">
        <f t="shared" si="14"/>
        <v>Dec 2025</v>
      </c>
      <c r="E356" s="39">
        <f t="shared" si="16"/>
        <v>52</v>
      </c>
    </row>
    <row r="357" spans="1:5" ht="25" customHeight="1" x14ac:dyDescent="0.15">
      <c r="A357" s="57" cm="1">
        <f t="array" ref="A357">INDEX(clean_weekly_data!$A:$A,$E357)+MOD(ROW()-2,7)</f>
        <v>46011</v>
      </c>
      <c r="B357" s="39" t="str">
        <f t="shared" si="15"/>
        <v>Saturday</v>
      </c>
      <c r="C357" s="58" cm="1">
        <f t="array" ref="C357">INDEX(clean_weekly_data!$C:$I,$E357,MOD(ROW()-2,7)+1)</f>
        <v>9168</v>
      </c>
      <c r="D357" s="57" t="str">
        <f t="shared" ref="D357:D420" si="17">TEXT(A357,"mmm yyyy")</f>
        <v>Dec 2025</v>
      </c>
      <c r="E357" s="39">
        <f t="shared" si="16"/>
        <v>52</v>
      </c>
    </row>
    <row r="358" spans="1:5" ht="25" customHeight="1" x14ac:dyDescent="0.15">
      <c r="A358" s="57" cm="1">
        <f t="array" ref="A358">INDEX(clean_weekly_data!$A:$A,$E358)+MOD(ROW()-2,7)</f>
        <v>46012</v>
      </c>
      <c r="B358" s="39" t="str">
        <f t="shared" si="15"/>
        <v>Sunday</v>
      </c>
      <c r="C358" s="58" cm="1">
        <f t="array" ref="C358">INDEX(clean_weekly_data!$C:$I,$E358,MOD(ROW()-2,7)+1)</f>
        <v>6634</v>
      </c>
      <c r="D358" s="57" t="str">
        <f t="shared" si="17"/>
        <v>Dec 2025</v>
      </c>
      <c r="E358" s="39">
        <f t="shared" si="16"/>
        <v>52</v>
      </c>
    </row>
    <row r="359" spans="1:5" ht="25" customHeight="1" x14ac:dyDescent="0.15">
      <c r="A359" s="57" cm="1">
        <f t="array" ref="A359">INDEX(clean_weekly_data!$A:$A,$E359)+MOD(ROW()-2,7)</f>
        <v>46013</v>
      </c>
      <c r="B359" s="39" t="str">
        <f t="shared" si="15"/>
        <v>Monday</v>
      </c>
      <c r="C359" s="58" cm="1">
        <f t="array" ref="C359">INDEX(clean_weekly_data!$C:$I,$E359,MOD(ROW()-2,7)+1)</f>
        <v>7771</v>
      </c>
      <c r="D359" s="57" t="str">
        <f t="shared" si="17"/>
        <v>Dec 2025</v>
      </c>
      <c r="E359" s="39">
        <f t="shared" si="16"/>
        <v>53</v>
      </c>
    </row>
    <row r="360" spans="1:5" ht="25" customHeight="1" x14ac:dyDescent="0.15">
      <c r="A360" s="57" cm="1">
        <f t="array" ref="A360">INDEX(clean_weekly_data!$A:$A,$E360)+MOD(ROW()-2,7)</f>
        <v>46014</v>
      </c>
      <c r="B360" s="39" t="str">
        <f t="shared" si="15"/>
        <v>Tuesday</v>
      </c>
      <c r="C360" s="58" cm="1">
        <f t="array" ref="C360">INDEX(clean_weekly_data!$C:$I,$E360,MOD(ROW()-2,7)+1)</f>
        <v>8775</v>
      </c>
      <c r="D360" s="57" t="str">
        <f t="shared" si="17"/>
        <v>Dec 2025</v>
      </c>
      <c r="E360" s="39">
        <f t="shared" si="16"/>
        <v>53</v>
      </c>
    </row>
    <row r="361" spans="1:5" ht="25" customHeight="1" x14ac:dyDescent="0.15">
      <c r="A361" s="57" cm="1">
        <f t="array" ref="A361">INDEX(clean_weekly_data!$A:$A,$E361)+MOD(ROW()-2,7)</f>
        <v>46015</v>
      </c>
      <c r="B361" s="39" t="str">
        <f t="shared" si="15"/>
        <v>Wednesday</v>
      </c>
      <c r="C361" s="58" cm="1">
        <f t="array" ref="C361">INDEX(clean_weekly_data!$C:$I,$E361,MOD(ROW()-2,7)+1)</f>
        <v>5742</v>
      </c>
      <c r="D361" s="57" t="str">
        <f t="shared" si="17"/>
        <v>Dec 2025</v>
      </c>
      <c r="E361" s="39">
        <f t="shared" si="16"/>
        <v>53</v>
      </c>
    </row>
    <row r="362" spans="1:5" ht="25" customHeight="1" x14ac:dyDescent="0.15">
      <c r="A362" s="57" cm="1">
        <f t="array" ref="A362">INDEX(clean_weekly_data!$A:$A,$E362)+MOD(ROW()-2,7)</f>
        <v>46016</v>
      </c>
      <c r="B362" s="39" t="str">
        <f t="shared" si="15"/>
        <v>Thursday</v>
      </c>
      <c r="C362" s="58" cm="1">
        <f t="array" ref="C362">INDEX(clean_weekly_data!$C:$I,$E362,MOD(ROW()-2,7)+1)</f>
        <v>0</v>
      </c>
      <c r="D362" s="57" t="str">
        <f t="shared" si="17"/>
        <v>Dec 2025</v>
      </c>
      <c r="E362" s="39">
        <f t="shared" si="16"/>
        <v>53</v>
      </c>
    </row>
    <row r="363" spans="1:5" ht="25" customHeight="1" x14ac:dyDescent="0.15">
      <c r="A363" s="57" cm="1">
        <f t="array" ref="A363">INDEX(clean_weekly_data!$A:$A,$E363)+MOD(ROW()-2,7)</f>
        <v>46017</v>
      </c>
      <c r="B363" s="39" t="str">
        <f t="shared" si="15"/>
        <v>Friday</v>
      </c>
      <c r="C363" s="58" cm="1">
        <f t="array" ref="C363">INDEX(clean_weekly_data!$C:$I,$E363,MOD(ROW()-2,7)+1)</f>
        <v>10907</v>
      </c>
      <c r="D363" s="57" t="str">
        <f t="shared" si="17"/>
        <v>Dec 2025</v>
      </c>
      <c r="E363" s="39">
        <f t="shared" si="16"/>
        <v>53</v>
      </c>
    </row>
    <row r="364" spans="1:5" ht="25" customHeight="1" x14ac:dyDescent="0.15">
      <c r="A364" s="57" cm="1">
        <f t="array" ref="A364">INDEX(clean_weekly_data!$A:$A,$E364)+MOD(ROW()-2,7)</f>
        <v>46018</v>
      </c>
      <c r="B364" s="39" t="str">
        <f t="shared" si="15"/>
        <v>Saturday</v>
      </c>
      <c r="C364" s="58" cm="1">
        <f t="array" ref="C364">INDEX(clean_weekly_data!$C:$I,$E364,MOD(ROW()-2,7)+1)</f>
        <v>12834</v>
      </c>
      <c r="D364" s="57" t="str">
        <f t="shared" si="17"/>
        <v>Dec 2025</v>
      </c>
      <c r="E364" s="39">
        <f t="shared" si="16"/>
        <v>53</v>
      </c>
    </row>
    <row r="365" spans="1:5" ht="25" customHeight="1" x14ac:dyDescent="0.15">
      <c r="A365" s="57" cm="1">
        <f t="array" ref="A365">INDEX(clean_weekly_data!$A:$A,$E365)+MOD(ROW()-2,7)</f>
        <v>46019</v>
      </c>
      <c r="B365" s="39" t="str">
        <f t="shared" si="15"/>
        <v>Sunday</v>
      </c>
      <c r="C365" s="58" cm="1">
        <f t="array" ref="C365">INDEX(clean_weekly_data!$C:$I,$E365,MOD(ROW()-2,7)+1)</f>
        <v>4830</v>
      </c>
      <c r="D365" s="57" t="str">
        <f t="shared" si="17"/>
        <v>Dec 2025</v>
      </c>
      <c r="E365" s="39">
        <f t="shared" si="16"/>
        <v>53</v>
      </c>
    </row>
    <row r="366" spans="1:5" ht="25" customHeight="1" x14ac:dyDescent="0.15">
      <c r="A366" s="57" cm="1">
        <f t="array" ref="A366">INDEX(clean_weekly_data!$A:$A,$E366)+MOD(ROW()-2,7)</f>
        <v>46020</v>
      </c>
      <c r="B366" s="39" t="str">
        <f t="shared" si="15"/>
        <v>Monday</v>
      </c>
      <c r="C366" s="58" cm="1">
        <f t="array" ref="C366">INDEX(clean_weekly_data!$C:$I,$E366,MOD(ROW()-2,7)+1)</f>
        <v>6334</v>
      </c>
      <c r="D366" s="57" t="str">
        <f t="shared" si="17"/>
        <v>Dec 2025</v>
      </c>
      <c r="E366" s="39">
        <f t="shared" si="16"/>
        <v>54</v>
      </c>
    </row>
    <row r="367" spans="1:5" ht="25" customHeight="1" x14ac:dyDescent="0.15">
      <c r="A367" s="57" cm="1">
        <f t="array" ref="A367">INDEX(clean_weekly_data!$A:$A,$E367)+MOD(ROW()-2,7)</f>
        <v>46021</v>
      </c>
      <c r="B367" s="39" t="str">
        <f t="shared" si="15"/>
        <v>Tuesday</v>
      </c>
      <c r="C367" s="58" cm="1">
        <f t="array" ref="C367">INDEX(clean_weekly_data!$C:$I,$E367,MOD(ROW()-2,7)+1)</f>
        <v>5584</v>
      </c>
      <c r="D367" s="57" t="str">
        <f t="shared" si="17"/>
        <v>Dec 2025</v>
      </c>
      <c r="E367" s="39">
        <f t="shared" si="16"/>
        <v>54</v>
      </c>
    </row>
    <row r="368" spans="1:5" ht="25" customHeight="1" x14ac:dyDescent="0.15">
      <c r="A368" s="57" cm="1">
        <f t="array" ref="A368">INDEX(clean_weekly_data!$A:$A,$E368)+MOD(ROW()-2,7)</f>
        <v>46022</v>
      </c>
      <c r="B368" s="39" t="str">
        <f t="shared" si="15"/>
        <v>Wednesday</v>
      </c>
      <c r="C368" s="58" cm="1">
        <f t="array" ref="C368">INDEX(clean_weekly_data!$C:$I,$E368,MOD(ROW()-2,7)+1)</f>
        <v>7380</v>
      </c>
      <c r="D368" s="57" t="str">
        <f t="shared" si="17"/>
        <v>Dec 2025</v>
      </c>
      <c r="E368" s="39">
        <f t="shared" si="16"/>
        <v>54</v>
      </c>
    </row>
    <row r="369" spans="1:5" ht="25" customHeight="1" x14ac:dyDescent="0.15">
      <c r="A369" s="57" cm="1">
        <f t="array" ref="A369">INDEX(clean_weekly_data!$A:$A,$E369)+MOD(ROW()-2,7)</f>
        <v>46023</v>
      </c>
      <c r="B369" s="39" t="str">
        <f t="shared" si="15"/>
        <v>Thursday</v>
      </c>
      <c r="C369" s="58" cm="1">
        <f t="array" ref="C369">INDEX(clean_weekly_data!$C:$I,$E369,MOD(ROW()-2,7)+1)</f>
        <v>6719</v>
      </c>
      <c r="D369" s="57" t="str">
        <f t="shared" si="17"/>
        <v>Jan 2026</v>
      </c>
      <c r="E369" s="39">
        <f t="shared" si="16"/>
        <v>54</v>
      </c>
    </row>
    <row r="370" spans="1:5" ht="25" customHeight="1" x14ac:dyDescent="0.15">
      <c r="A370" s="57" cm="1">
        <f t="array" ref="A370">INDEX(clean_weekly_data!$A:$A,$E370)+MOD(ROW()-2,7)</f>
        <v>46024</v>
      </c>
      <c r="B370" s="39" t="str">
        <f t="shared" si="15"/>
        <v>Friday</v>
      </c>
      <c r="C370" s="58" cm="1">
        <f t="array" ref="C370">INDEX(clean_weekly_data!$C:$I,$E370,MOD(ROW()-2,7)+1)</f>
        <v>13856</v>
      </c>
      <c r="D370" s="57" t="str">
        <f t="shared" si="17"/>
        <v>Jan 2026</v>
      </c>
      <c r="E370" s="39">
        <f t="shared" si="16"/>
        <v>54</v>
      </c>
    </row>
    <row r="371" spans="1:5" ht="25" customHeight="1" x14ac:dyDescent="0.15">
      <c r="A371" s="57" cm="1">
        <f t="array" ref="A371">INDEX(clean_weekly_data!$A:$A,$E371)+MOD(ROW()-2,7)</f>
        <v>46025</v>
      </c>
      <c r="B371" s="39" t="str">
        <f t="shared" si="15"/>
        <v>Saturday</v>
      </c>
      <c r="C371" s="58" cm="1">
        <f t="array" ref="C371">INDEX(clean_weekly_data!$C:$I,$E371,MOD(ROW()-2,7)+1)</f>
        <v>13933</v>
      </c>
      <c r="D371" s="57" t="str">
        <f t="shared" si="17"/>
        <v>Jan 2026</v>
      </c>
      <c r="E371" s="39">
        <f t="shared" si="16"/>
        <v>54</v>
      </c>
    </row>
    <row r="372" spans="1:5" ht="25" customHeight="1" x14ac:dyDescent="0.15">
      <c r="A372" s="57" cm="1">
        <f t="array" ref="A372">INDEX(clean_weekly_data!$A:$A,$E372)+MOD(ROW()-2,7)</f>
        <v>46026</v>
      </c>
      <c r="B372" s="39" t="str">
        <f t="shared" si="15"/>
        <v>Sunday</v>
      </c>
      <c r="C372" s="58" cm="1">
        <f t="array" ref="C372">INDEX(clean_weekly_data!$C:$I,$E372,MOD(ROW()-2,7)+1)</f>
        <v>4296</v>
      </c>
      <c r="D372" s="57" t="str">
        <f t="shared" si="17"/>
        <v>Jan 2026</v>
      </c>
      <c r="E372" s="39">
        <f t="shared" si="16"/>
        <v>54</v>
      </c>
    </row>
    <row r="373" spans="1:5" ht="25" customHeight="1" x14ac:dyDescent="0.15">
      <c r="A373" s="57" cm="1">
        <f t="array" ref="A373">INDEX(clean_weekly_data!$A:$A,$E373)+MOD(ROW()-2,7)</f>
        <v>46027</v>
      </c>
      <c r="B373" s="39" t="str">
        <f t="shared" si="15"/>
        <v>Monday</v>
      </c>
      <c r="C373" s="58" cm="1">
        <f t="array" ref="C373">INDEX(clean_weekly_data!$C:$I,$E373,MOD(ROW()-2,7)+1)</f>
        <v>2984</v>
      </c>
      <c r="D373" s="57" t="str">
        <f t="shared" si="17"/>
        <v>Jan 2026</v>
      </c>
      <c r="E373" s="39">
        <f t="shared" si="16"/>
        <v>55</v>
      </c>
    </row>
    <row r="374" spans="1:5" ht="25" customHeight="1" x14ac:dyDescent="0.15">
      <c r="A374" s="57" cm="1">
        <f t="array" ref="A374">INDEX(clean_weekly_data!$A:$A,$E374)+MOD(ROW()-2,7)</f>
        <v>46028</v>
      </c>
      <c r="B374" s="39" t="str">
        <f t="shared" si="15"/>
        <v>Tuesday</v>
      </c>
      <c r="C374" s="58" cm="1">
        <f t="array" ref="C374">INDEX(clean_weekly_data!$C:$I,$E374,MOD(ROW()-2,7)+1)</f>
        <v>0</v>
      </c>
      <c r="D374" s="57" t="str">
        <f t="shared" si="17"/>
        <v>Jan 2026</v>
      </c>
      <c r="E374" s="39">
        <f t="shared" si="16"/>
        <v>55</v>
      </c>
    </row>
    <row r="375" spans="1:5" ht="25" customHeight="1" x14ac:dyDescent="0.15">
      <c r="A375" s="57" cm="1">
        <f t="array" ref="A375">INDEX(clean_weekly_data!$A:$A,$E375)+MOD(ROW()-2,7)</f>
        <v>46029</v>
      </c>
      <c r="B375" s="39" t="str">
        <f t="shared" si="15"/>
        <v>Wednesday</v>
      </c>
      <c r="C375" s="58" cm="1">
        <f t="array" ref="C375">INDEX(clean_weekly_data!$C:$I,$E375,MOD(ROW()-2,7)+1)</f>
        <v>3565</v>
      </c>
      <c r="D375" s="57" t="str">
        <f t="shared" si="17"/>
        <v>Jan 2026</v>
      </c>
      <c r="E375" s="39">
        <f t="shared" si="16"/>
        <v>55</v>
      </c>
    </row>
    <row r="376" spans="1:5" ht="25" customHeight="1" x14ac:dyDescent="0.15">
      <c r="A376" s="57" cm="1">
        <f t="array" ref="A376">INDEX(clean_weekly_data!$A:$A,$E376)+MOD(ROW()-2,7)</f>
        <v>46030</v>
      </c>
      <c r="B376" s="39" t="str">
        <f t="shared" si="15"/>
        <v>Thursday</v>
      </c>
      <c r="C376" s="58" cm="1">
        <f t="array" ref="C376">INDEX(clean_weekly_data!$C:$I,$E376,MOD(ROW()-2,7)+1)</f>
        <v>4486</v>
      </c>
      <c r="D376" s="57" t="str">
        <f t="shared" si="17"/>
        <v>Jan 2026</v>
      </c>
      <c r="E376" s="39">
        <f t="shared" si="16"/>
        <v>55</v>
      </c>
    </row>
    <row r="377" spans="1:5" ht="25" customHeight="1" x14ac:dyDescent="0.15">
      <c r="A377" s="57" cm="1">
        <f t="array" ref="A377">INDEX(clean_weekly_data!$A:$A,$E377)+MOD(ROW()-2,7)</f>
        <v>46031</v>
      </c>
      <c r="B377" s="39" t="str">
        <f t="shared" si="15"/>
        <v>Friday</v>
      </c>
      <c r="C377" s="58" cm="1">
        <f t="array" ref="C377">INDEX(clean_weekly_data!$C:$I,$E377,MOD(ROW()-2,7)+1)</f>
        <v>9995</v>
      </c>
      <c r="D377" s="57" t="str">
        <f t="shared" si="17"/>
        <v>Jan 2026</v>
      </c>
      <c r="E377" s="39">
        <f t="shared" si="16"/>
        <v>55</v>
      </c>
    </row>
    <row r="378" spans="1:5" ht="25" customHeight="1" x14ac:dyDescent="0.15">
      <c r="A378" s="57" cm="1">
        <f t="array" ref="A378">INDEX(clean_weekly_data!$A:$A,$E378)+MOD(ROW()-2,7)</f>
        <v>46032</v>
      </c>
      <c r="B378" s="39" t="str">
        <f t="shared" si="15"/>
        <v>Saturday</v>
      </c>
      <c r="C378" s="58" cm="1">
        <f t="array" ref="C378">INDEX(clean_weekly_data!$C:$I,$E378,MOD(ROW()-2,7)+1)</f>
        <v>8115</v>
      </c>
      <c r="D378" s="57" t="str">
        <f t="shared" si="17"/>
        <v>Jan 2026</v>
      </c>
      <c r="E378" s="39">
        <f t="shared" si="16"/>
        <v>55</v>
      </c>
    </row>
    <row r="379" spans="1:5" ht="25" customHeight="1" x14ac:dyDescent="0.15">
      <c r="A379" s="57" cm="1">
        <f t="array" ref="A379">INDEX(clean_weekly_data!$A:$A,$E379)+MOD(ROW()-2,7)</f>
        <v>46033</v>
      </c>
      <c r="B379" s="39" t="str">
        <f t="shared" si="15"/>
        <v>Sunday</v>
      </c>
      <c r="C379" s="58" cm="1">
        <f t="array" ref="C379">INDEX(clean_weekly_data!$C:$I,$E379,MOD(ROW()-2,7)+1)</f>
        <v>6482</v>
      </c>
      <c r="D379" s="57" t="str">
        <f t="shared" si="17"/>
        <v>Jan 2026</v>
      </c>
      <c r="E379" s="39">
        <f t="shared" si="16"/>
        <v>55</v>
      </c>
    </row>
    <row r="380" spans="1:5" ht="25" customHeight="1" x14ac:dyDescent="0.15">
      <c r="A380" s="57" cm="1">
        <f t="array" ref="A380">INDEX(clean_weekly_data!$A:$A,$E380)+MOD(ROW()-2,7)</f>
        <v>46034</v>
      </c>
      <c r="B380" s="39" t="str">
        <f t="shared" si="15"/>
        <v>Monday</v>
      </c>
      <c r="C380" s="58" cm="1">
        <f t="array" ref="C380">INDEX(clean_weekly_data!$C:$I,$E380,MOD(ROW()-2,7)+1)</f>
        <v>2707</v>
      </c>
      <c r="D380" s="57" t="str">
        <f t="shared" si="17"/>
        <v>Jan 2026</v>
      </c>
      <c r="E380" s="39">
        <f t="shared" si="16"/>
        <v>56</v>
      </c>
    </row>
    <row r="381" spans="1:5" ht="25" customHeight="1" x14ac:dyDescent="0.15">
      <c r="A381" s="57" cm="1">
        <f t="array" ref="A381">INDEX(clean_weekly_data!$A:$A,$E381)+MOD(ROW()-2,7)</f>
        <v>46035</v>
      </c>
      <c r="B381" s="39" t="str">
        <f t="shared" si="15"/>
        <v>Tuesday</v>
      </c>
      <c r="C381" s="58" cm="1">
        <f t="array" ref="C381">INDEX(clean_weekly_data!$C:$I,$E381,MOD(ROW()-2,7)+1)</f>
        <v>2057</v>
      </c>
      <c r="D381" s="57" t="str">
        <f t="shared" si="17"/>
        <v>Jan 2026</v>
      </c>
      <c r="E381" s="39">
        <f t="shared" si="16"/>
        <v>56</v>
      </c>
    </row>
    <row r="382" spans="1:5" ht="25" customHeight="1" x14ac:dyDescent="0.15">
      <c r="A382" s="57" cm="1">
        <f t="array" ref="A382">INDEX(clean_weekly_data!$A:$A,$E382)+MOD(ROW()-2,7)</f>
        <v>46036</v>
      </c>
      <c r="B382" s="39" t="str">
        <f t="shared" si="15"/>
        <v>Wednesday</v>
      </c>
      <c r="C382" s="58" cm="1">
        <f t="array" ref="C382">INDEX(clean_weekly_data!$C:$I,$E382,MOD(ROW()-2,7)+1)</f>
        <v>2581</v>
      </c>
      <c r="D382" s="57" t="str">
        <f t="shared" si="17"/>
        <v>Jan 2026</v>
      </c>
      <c r="E382" s="39">
        <f t="shared" si="16"/>
        <v>56</v>
      </c>
    </row>
    <row r="383" spans="1:5" ht="25" customHeight="1" x14ac:dyDescent="0.15">
      <c r="A383" s="57" cm="1">
        <f t="array" ref="A383">INDEX(clean_weekly_data!$A:$A,$E383)+MOD(ROW()-2,7)</f>
        <v>46037</v>
      </c>
      <c r="B383" s="39" t="str">
        <f t="shared" si="15"/>
        <v>Thursday</v>
      </c>
      <c r="C383" s="58" cm="1">
        <f t="array" ref="C383">INDEX(clean_weekly_data!$C:$I,$E383,MOD(ROW()-2,7)+1)</f>
        <v>4162</v>
      </c>
      <c r="D383" s="57" t="str">
        <f t="shared" si="17"/>
        <v>Jan 2026</v>
      </c>
      <c r="E383" s="39">
        <f t="shared" si="16"/>
        <v>56</v>
      </c>
    </row>
    <row r="384" spans="1:5" ht="25" customHeight="1" x14ac:dyDescent="0.15">
      <c r="A384" s="57" cm="1">
        <f t="array" ref="A384">INDEX(clean_weekly_data!$A:$A,$E384)+MOD(ROW()-2,7)</f>
        <v>46038</v>
      </c>
      <c r="B384" s="39" t="str">
        <f t="shared" si="15"/>
        <v>Friday</v>
      </c>
      <c r="C384" s="58" cm="1">
        <f t="array" ref="C384">INDEX(clean_weekly_data!$C:$I,$E384,MOD(ROW()-2,7)+1)</f>
        <v>12223</v>
      </c>
      <c r="D384" s="57" t="str">
        <f t="shared" si="17"/>
        <v>Jan 2026</v>
      </c>
      <c r="E384" s="39">
        <f t="shared" si="16"/>
        <v>56</v>
      </c>
    </row>
    <row r="385" spans="1:5" ht="25" customHeight="1" x14ac:dyDescent="0.15">
      <c r="A385" s="57" cm="1">
        <f t="array" ref="A385">INDEX(clean_weekly_data!$A:$A,$E385)+MOD(ROW()-2,7)</f>
        <v>46039</v>
      </c>
      <c r="B385" s="39" t="str">
        <f t="shared" si="15"/>
        <v>Saturday</v>
      </c>
      <c r="C385" s="58" cm="1">
        <f t="array" ref="C385">INDEX(clean_weekly_data!$C:$I,$E385,MOD(ROW()-2,7)+1)</f>
        <v>13020</v>
      </c>
      <c r="D385" s="57" t="str">
        <f t="shared" si="17"/>
        <v>Jan 2026</v>
      </c>
      <c r="E385" s="39">
        <f t="shared" si="16"/>
        <v>56</v>
      </c>
    </row>
    <row r="386" spans="1:5" ht="25" customHeight="1" x14ac:dyDescent="0.15">
      <c r="A386" s="57" cm="1">
        <f t="array" ref="A386">INDEX(clean_weekly_data!$A:$A,$E386)+MOD(ROW()-2,7)</f>
        <v>46040</v>
      </c>
      <c r="B386" s="39" t="str">
        <f t="shared" si="15"/>
        <v>Sunday</v>
      </c>
      <c r="C386" s="58" cm="1">
        <f t="array" ref="C386">INDEX(clean_weekly_data!$C:$I,$E386,MOD(ROW()-2,7)+1)</f>
        <v>2109</v>
      </c>
      <c r="D386" s="57" t="str">
        <f t="shared" si="17"/>
        <v>Jan 2026</v>
      </c>
      <c r="E386" s="39">
        <f t="shared" si="16"/>
        <v>56</v>
      </c>
    </row>
    <row r="387" spans="1:5" ht="25" customHeight="1" x14ac:dyDescent="0.15">
      <c r="A387" s="57" cm="1">
        <f t="array" ref="A387">INDEX(clean_weekly_data!$A:$A,$E387)+MOD(ROW()-2,7)</f>
        <v>46041</v>
      </c>
      <c r="B387" s="39" t="str">
        <f t="shared" ref="B387:B450" si="18">CHOOSE(MOD(ROW()-2,7)+1,"Monday","Tuesday","Wednesday","Thursday","Friday","Saturday","Sunday")</f>
        <v>Monday</v>
      </c>
      <c r="C387" s="58" cm="1">
        <f t="array" ref="C387">INDEX(clean_weekly_data!$C:$I,$E387,MOD(ROW()-2,7)+1)</f>
        <v>3418</v>
      </c>
      <c r="D387" s="57" t="str">
        <f t="shared" si="17"/>
        <v>Jan 2026</v>
      </c>
      <c r="E387" s="39">
        <f t="shared" ref="E387:E451" si="19">INT((ROW()-2)/7)+2</f>
        <v>57</v>
      </c>
    </row>
    <row r="388" spans="1:5" ht="25" customHeight="1" x14ac:dyDescent="0.15">
      <c r="A388" s="57" cm="1">
        <f t="array" ref="A388">INDEX(clean_weekly_data!$A:$A,$E388)+MOD(ROW()-2,7)</f>
        <v>46042</v>
      </c>
      <c r="B388" s="39" t="str">
        <f t="shared" si="18"/>
        <v>Tuesday</v>
      </c>
      <c r="C388" s="58" cm="1">
        <f t="array" ref="C388">INDEX(clean_weekly_data!$C:$I,$E388,MOD(ROW()-2,7)+1)</f>
        <v>2690</v>
      </c>
      <c r="D388" s="57" t="str">
        <f t="shared" si="17"/>
        <v>Jan 2026</v>
      </c>
      <c r="E388" s="39">
        <f t="shared" si="19"/>
        <v>57</v>
      </c>
    </row>
    <row r="389" spans="1:5" ht="25" customHeight="1" x14ac:dyDescent="0.15">
      <c r="A389" s="57" cm="1">
        <f t="array" ref="A389">INDEX(clean_weekly_data!$A:$A,$E389)+MOD(ROW()-2,7)</f>
        <v>46043</v>
      </c>
      <c r="B389" s="39" t="str">
        <f t="shared" si="18"/>
        <v>Wednesday</v>
      </c>
      <c r="C389" s="58" cm="1">
        <f t="array" ref="C389">INDEX(clean_weekly_data!$C:$I,$E389,MOD(ROW()-2,7)+1)</f>
        <v>2931</v>
      </c>
      <c r="D389" s="57" t="str">
        <f t="shared" si="17"/>
        <v>Jan 2026</v>
      </c>
      <c r="E389" s="39">
        <f t="shared" si="19"/>
        <v>57</v>
      </c>
    </row>
    <row r="390" spans="1:5" ht="25" customHeight="1" x14ac:dyDescent="0.15">
      <c r="A390" s="57" cm="1">
        <f t="array" ref="A390">INDEX(clean_weekly_data!$A:$A,$E390)+MOD(ROW()-2,7)</f>
        <v>46044</v>
      </c>
      <c r="B390" s="39" t="str">
        <f t="shared" si="18"/>
        <v>Thursday</v>
      </c>
      <c r="C390" s="58" cm="1">
        <f t="array" ref="C390">INDEX(clean_weekly_data!$C:$I,$E390,MOD(ROW()-2,7)+1)</f>
        <v>2701</v>
      </c>
      <c r="D390" s="57" t="str">
        <f t="shared" si="17"/>
        <v>Jan 2026</v>
      </c>
      <c r="E390" s="39">
        <f t="shared" si="19"/>
        <v>57</v>
      </c>
    </row>
    <row r="391" spans="1:5" ht="25" customHeight="1" x14ac:dyDescent="0.15">
      <c r="A391" s="57" cm="1">
        <f t="array" ref="A391">INDEX(clean_weekly_data!$A:$A,$E391)+MOD(ROW()-2,7)</f>
        <v>46045</v>
      </c>
      <c r="B391" s="39" t="str">
        <f t="shared" si="18"/>
        <v>Friday</v>
      </c>
      <c r="C391" s="58" cm="1">
        <f t="array" ref="C391">INDEX(clean_weekly_data!$C:$I,$E391,MOD(ROW()-2,7)+1)</f>
        <v>8147</v>
      </c>
      <c r="D391" s="57" t="str">
        <f t="shared" si="17"/>
        <v>Jan 2026</v>
      </c>
      <c r="E391" s="39">
        <f t="shared" si="19"/>
        <v>57</v>
      </c>
    </row>
    <row r="392" spans="1:5" ht="25" customHeight="1" x14ac:dyDescent="0.15">
      <c r="A392" s="57" cm="1">
        <f t="array" ref="A392">INDEX(clean_weekly_data!$A:$A,$E392)+MOD(ROW()-2,7)</f>
        <v>46046</v>
      </c>
      <c r="B392" s="39" t="str">
        <f t="shared" si="18"/>
        <v>Saturday</v>
      </c>
      <c r="C392" s="58" cm="1">
        <f t="array" ref="C392">INDEX(clean_weekly_data!$C:$I,$E392,MOD(ROW()-2,7)+1)</f>
        <v>12897</v>
      </c>
      <c r="D392" s="57" t="str">
        <f t="shared" si="17"/>
        <v>Jan 2026</v>
      </c>
      <c r="E392" s="39">
        <f t="shared" si="19"/>
        <v>57</v>
      </c>
    </row>
    <row r="393" spans="1:5" ht="25" customHeight="1" x14ac:dyDescent="0.15">
      <c r="A393" s="57" cm="1">
        <f t="array" ref="A393">INDEX(clean_weekly_data!$A:$A,$E393)+MOD(ROW()-2,7)</f>
        <v>46047</v>
      </c>
      <c r="B393" s="39" t="str">
        <f t="shared" si="18"/>
        <v>Sunday</v>
      </c>
      <c r="C393" s="58" cm="1">
        <f t="array" ref="C393">INDEX(clean_weekly_data!$C:$I,$E393,MOD(ROW()-2,7)+1)</f>
        <v>3228</v>
      </c>
      <c r="D393" s="57" t="str">
        <f t="shared" si="17"/>
        <v>Jan 2026</v>
      </c>
      <c r="E393" s="39">
        <f t="shared" si="19"/>
        <v>57</v>
      </c>
    </row>
    <row r="394" spans="1:5" ht="25" customHeight="1" x14ac:dyDescent="0.15">
      <c r="A394" s="57" cm="1">
        <f t="array" ref="A394">INDEX(clean_weekly_data!$A:$A,$E394)+MOD(ROW()-2,7)</f>
        <v>46048</v>
      </c>
      <c r="B394" s="39" t="str">
        <f t="shared" si="18"/>
        <v>Monday</v>
      </c>
      <c r="C394" s="58" cm="1">
        <f t="array" ref="C394">INDEX(clean_weekly_data!$C:$I,$E394,MOD(ROW()-2,7)+1)</f>
        <v>2536</v>
      </c>
      <c r="D394" s="57" t="str">
        <f t="shared" si="17"/>
        <v>Jan 2026</v>
      </c>
      <c r="E394" s="39">
        <f t="shared" si="19"/>
        <v>58</v>
      </c>
    </row>
    <row r="395" spans="1:5" ht="25" customHeight="1" x14ac:dyDescent="0.15">
      <c r="A395" s="57" cm="1">
        <f t="array" ref="A395">INDEX(clean_weekly_data!$A:$A,$E395)+MOD(ROW()-2,7)</f>
        <v>46049</v>
      </c>
      <c r="B395" s="39" t="str">
        <f t="shared" si="18"/>
        <v>Tuesday</v>
      </c>
      <c r="C395" s="58" cm="1">
        <f t="array" ref="C395">INDEX(clean_weekly_data!$C:$I,$E395,MOD(ROW()-2,7)+1)</f>
        <v>3375</v>
      </c>
      <c r="D395" s="57" t="str">
        <f t="shared" si="17"/>
        <v>Jan 2026</v>
      </c>
      <c r="E395" s="39">
        <f t="shared" si="19"/>
        <v>58</v>
      </c>
    </row>
    <row r="396" spans="1:5" ht="25" customHeight="1" x14ac:dyDescent="0.15">
      <c r="A396" s="57" cm="1">
        <f t="array" ref="A396">INDEX(clean_weekly_data!$A:$A,$E396)+MOD(ROW()-2,7)</f>
        <v>46050</v>
      </c>
      <c r="B396" s="39" t="str">
        <f t="shared" si="18"/>
        <v>Wednesday</v>
      </c>
      <c r="C396" s="58" cm="1">
        <f t="array" ref="C396">INDEX(clean_weekly_data!$C:$I,$E396,MOD(ROW()-2,7)+1)</f>
        <v>4845</v>
      </c>
      <c r="D396" s="57" t="str">
        <f t="shared" si="17"/>
        <v>Jan 2026</v>
      </c>
      <c r="E396" s="39">
        <f t="shared" si="19"/>
        <v>58</v>
      </c>
    </row>
    <row r="397" spans="1:5" ht="25" customHeight="1" x14ac:dyDescent="0.15">
      <c r="A397" s="57" cm="1">
        <f t="array" ref="A397">INDEX(clean_weekly_data!$A:$A,$E397)+MOD(ROW()-2,7)</f>
        <v>46051</v>
      </c>
      <c r="B397" s="39" t="str">
        <f t="shared" si="18"/>
        <v>Thursday</v>
      </c>
      <c r="C397" s="58" cm="1">
        <f t="array" ref="C397">INDEX(clean_weekly_data!$C:$I,$E397,MOD(ROW()-2,7)+1)</f>
        <v>4988</v>
      </c>
      <c r="D397" s="57" t="str">
        <f t="shared" si="17"/>
        <v>Jan 2026</v>
      </c>
      <c r="E397" s="39">
        <f t="shared" si="19"/>
        <v>58</v>
      </c>
    </row>
    <row r="398" spans="1:5" ht="25" customHeight="1" x14ac:dyDescent="0.15">
      <c r="A398" s="57" cm="1">
        <f t="array" ref="A398">INDEX(clean_weekly_data!$A:$A,$E398)+MOD(ROW()-2,7)</f>
        <v>46052</v>
      </c>
      <c r="B398" s="39" t="str">
        <f t="shared" si="18"/>
        <v>Friday</v>
      </c>
      <c r="C398" s="58" cm="1">
        <f t="array" ref="C398">INDEX(clean_weekly_data!$C:$I,$E398,MOD(ROW()-2,7)+1)</f>
        <v>10749</v>
      </c>
      <c r="D398" s="57" t="str">
        <f t="shared" si="17"/>
        <v>Jan 2026</v>
      </c>
      <c r="E398" s="39">
        <f t="shared" si="19"/>
        <v>58</v>
      </c>
    </row>
    <row r="399" spans="1:5" ht="25" customHeight="1" x14ac:dyDescent="0.15">
      <c r="A399" s="57" cm="1">
        <f t="array" ref="A399">INDEX(clean_weekly_data!$A:$A,$E399)+MOD(ROW()-2,7)</f>
        <v>46053</v>
      </c>
      <c r="B399" s="39" t="str">
        <f t="shared" si="18"/>
        <v>Saturday</v>
      </c>
      <c r="C399" s="58" cm="1">
        <f t="array" ref="C399">INDEX(clean_weekly_data!$C:$I,$E399,MOD(ROW()-2,7)+1)</f>
        <v>12946</v>
      </c>
      <c r="D399" s="57" t="str">
        <f t="shared" si="17"/>
        <v>Jan 2026</v>
      </c>
      <c r="E399" s="39">
        <f t="shared" si="19"/>
        <v>58</v>
      </c>
    </row>
    <row r="400" spans="1:5" ht="25" customHeight="1" x14ac:dyDescent="0.15">
      <c r="A400" s="57" cm="1">
        <f t="array" ref="A400">INDEX(clean_weekly_data!$A:$A,$E400)+MOD(ROW()-2,7)</f>
        <v>46054</v>
      </c>
      <c r="B400" s="39" t="str">
        <f t="shared" si="18"/>
        <v>Sunday</v>
      </c>
      <c r="C400" s="58" cm="1">
        <f t="array" ref="C400">INDEX(clean_weekly_data!$C:$I,$E400,MOD(ROW()-2,7)+1)</f>
        <v>5703</v>
      </c>
      <c r="D400" s="57" t="str">
        <f t="shared" si="17"/>
        <v>Feb 2026</v>
      </c>
      <c r="E400" s="39">
        <f t="shared" si="19"/>
        <v>58</v>
      </c>
    </row>
    <row r="401" spans="1:5" ht="25" customHeight="1" x14ac:dyDescent="0.15">
      <c r="A401" s="57" cm="1">
        <f t="array" ref="A401">INDEX(clean_weekly_data!$A:$A,$E401)+MOD(ROW()-2,7)</f>
        <v>46055</v>
      </c>
      <c r="B401" s="39" t="str">
        <f t="shared" si="18"/>
        <v>Monday</v>
      </c>
      <c r="C401" s="58" cm="1">
        <f t="array" ref="C401">INDEX(clean_weekly_data!$C:$I,$E401,MOD(ROW()-2,7)+1)</f>
        <v>2786</v>
      </c>
      <c r="D401" s="57" t="str">
        <f t="shared" si="17"/>
        <v>Feb 2026</v>
      </c>
      <c r="E401" s="39">
        <f t="shared" si="19"/>
        <v>59</v>
      </c>
    </row>
    <row r="402" spans="1:5" ht="25" customHeight="1" x14ac:dyDescent="0.15">
      <c r="A402" s="57" cm="1">
        <f t="array" ref="A402">INDEX(clean_weekly_data!$A:$A,$E402)+MOD(ROW()-2,7)</f>
        <v>46056</v>
      </c>
      <c r="B402" s="39" t="str">
        <f t="shared" si="18"/>
        <v>Tuesday</v>
      </c>
      <c r="C402" s="58" cm="1">
        <f t="array" ref="C402">INDEX(clean_weekly_data!$C:$I,$E402,MOD(ROW()-2,7)+1)</f>
        <v>1971</v>
      </c>
      <c r="D402" s="57" t="str">
        <f t="shared" si="17"/>
        <v>Feb 2026</v>
      </c>
      <c r="E402" s="39">
        <f t="shared" si="19"/>
        <v>59</v>
      </c>
    </row>
    <row r="403" spans="1:5" ht="25" customHeight="1" x14ac:dyDescent="0.15">
      <c r="A403" s="57" cm="1">
        <f t="array" ref="A403">INDEX(clean_weekly_data!$A:$A,$E403)+MOD(ROW()-2,7)</f>
        <v>46057</v>
      </c>
      <c r="B403" s="39" t="str">
        <f t="shared" si="18"/>
        <v>Wednesday</v>
      </c>
      <c r="C403" s="58" cm="1">
        <f t="array" ref="C403">INDEX(clean_weekly_data!$C:$I,$E403,MOD(ROW()-2,7)+1)</f>
        <v>3546</v>
      </c>
      <c r="D403" s="57" t="str">
        <f t="shared" si="17"/>
        <v>Feb 2026</v>
      </c>
      <c r="E403" s="39">
        <f t="shared" si="19"/>
        <v>59</v>
      </c>
    </row>
    <row r="404" spans="1:5" ht="25" customHeight="1" x14ac:dyDescent="0.15">
      <c r="A404" s="57" cm="1">
        <f t="array" ref="A404">INDEX(clean_weekly_data!$A:$A,$E404)+MOD(ROW()-2,7)</f>
        <v>46058</v>
      </c>
      <c r="B404" s="39" t="str">
        <f t="shared" si="18"/>
        <v>Thursday</v>
      </c>
      <c r="C404" s="58" cm="1">
        <f t="array" ref="C404">INDEX(clean_weekly_data!$C:$I,$E404,MOD(ROW()-2,7)+1)</f>
        <v>3997</v>
      </c>
      <c r="D404" s="57" t="str">
        <f t="shared" si="17"/>
        <v>Feb 2026</v>
      </c>
      <c r="E404" s="39">
        <f t="shared" si="19"/>
        <v>59</v>
      </c>
    </row>
    <row r="405" spans="1:5" ht="25" customHeight="1" x14ac:dyDescent="0.15">
      <c r="A405" s="57" cm="1">
        <f t="array" ref="A405">INDEX(clean_weekly_data!$A:$A,$E405)+MOD(ROW()-2,7)</f>
        <v>46059</v>
      </c>
      <c r="B405" s="39" t="str">
        <f t="shared" si="18"/>
        <v>Friday</v>
      </c>
      <c r="C405" s="58" cm="1">
        <f t="array" ref="C405">INDEX(clean_weekly_data!$C:$I,$E405,MOD(ROW()-2,7)+1)</f>
        <v>11292</v>
      </c>
      <c r="D405" s="57" t="str">
        <f t="shared" si="17"/>
        <v>Feb 2026</v>
      </c>
      <c r="E405" s="39">
        <f t="shared" si="19"/>
        <v>59</v>
      </c>
    </row>
    <row r="406" spans="1:5" ht="25" customHeight="1" x14ac:dyDescent="0.15">
      <c r="A406" s="57" cm="1">
        <f t="array" ref="A406">INDEX(clean_weekly_data!$A:$A,$E406)+MOD(ROW()-2,7)</f>
        <v>46060</v>
      </c>
      <c r="B406" s="39" t="str">
        <f t="shared" si="18"/>
        <v>Saturday</v>
      </c>
      <c r="C406" s="58" cm="1">
        <f t="array" ref="C406">INDEX(clean_weekly_data!$C:$I,$E406,MOD(ROW()-2,7)+1)</f>
        <v>12032</v>
      </c>
      <c r="D406" s="57" t="str">
        <f t="shared" si="17"/>
        <v>Feb 2026</v>
      </c>
      <c r="E406" s="39">
        <f t="shared" si="19"/>
        <v>59</v>
      </c>
    </row>
    <row r="407" spans="1:5" ht="25" customHeight="1" x14ac:dyDescent="0.15">
      <c r="A407" s="57" cm="1">
        <f t="array" ref="A407">INDEX(clean_weekly_data!$A:$A,$E407)+MOD(ROW()-2,7)</f>
        <v>46061</v>
      </c>
      <c r="B407" s="39" t="str">
        <f t="shared" si="18"/>
        <v>Sunday</v>
      </c>
      <c r="C407" s="58" cm="1">
        <f t="array" ref="C407">INDEX(clean_weekly_data!$C:$I,$E407,MOD(ROW()-2,7)+1)</f>
        <v>0</v>
      </c>
      <c r="D407" s="57" t="str">
        <f t="shared" si="17"/>
        <v>Feb 2026</v>
      </c>
      <c r="E407" s="39">
        <f t="shared" si="19"/>
        <v>59</v>
      </c>
    </row>
    <row r="408" spans="1:5" ht="25" customHeight="1" x14ac:dyDescent="0.15">
      <c r="A408" s="57" cm="1">
        <f t="array" ref="A408">INDEX(clean_weekly_data!$A:$A,$E408)+MOD(ROW()-2,7)</f>
        <v>46062</v>
      </c>
      <c r="B408" s="39" t="str">
        <f t="shared" si="18"/>
        <v>Monday</v>
      </c>
      <c r="C408" s="58" cm="1">
        <f t="array" ref="C408">INDEX(clean_weekly_data!$C:$I,$E408,MOD(ROW()-2,7)+1)</f>
        <v>2165</v>
      </c>
      <c r="D408" s="57" t="str">
        <f t="shared" si="17"/>
        <v>Feb 2026</v>
      </c>
      <c r="E408" s="39">
        <f t="shared" si="19"/>
        <v>60</v>
      </c>
    </row>
    <row r="409" spans="1:5" ht="25" customHeight="1" x14ac:dyDescent="0.15">
      <c r="A409" s="57" cm="1">
        <f t="array" ref="A409">INDEX(clean_weekly_data!$A:$A,$E409)+MOD(ROW()-2,7)</f>
        <v>46063</v>
      </c>
      <c r="B409" s="39" t="str">
        <f t="shared" si="18"/>
        <v>Tuesday</v>
      </c>
      <c r="C409" s="58" cm="1">
        <f t="array" ref="C409">INDEX(clean_weekly_data!$C:$I,$E409,MOD(ROW()-2,7)+1)</f>
        <v>2396</v>
      </c>
      <c r="D409" s="57" t="str">
        <f t="shared" si="17"/>
        <v>Feb 2026</v>
      </c>
      <c r="E409" s="39">
        <f t="shared" si="19"/>
        <v>60</v>
      </c>
    </row>
    <row r="410" spans="1:5" ht="25" customHeight="1" x14ac:dyDescent="0.15">
      <c r="A410" s="57" cm="1">
        <f t="array" ref="A410">INDEX(clean_weekly_data!$A:$A,$E410)+MOD(ROW()-2,7)</f>
        <v>46064</v>
      </c>
      <c r="B410" s="39" t="str">
        <f t="shared" si="18"/>
        <v>Wednesday</v>
      </c>
      <c r="C410" s="58" cm="1">
        <f t="array" ref="C410">INDEX(clean_weekly_data!$C:$I,$E410,MOD(ROW()-2,7)+1)</f>
        <v>3581</v>
      </c>
      <c r="D410" s="57" t="str">
        <f t="shared" si="17"/>
        <v>Feb 2026</v>
      </c>
      <c r="E410" s="39">
        <f t="shared" si="19"/>
        <v>60</v>
      </c>
    </row>
    <row r="411" spans="1:5" ht="25" customHeight="1" x14ac:dyDescent="0.15">
      <c r="A411" s="57" cm="1">
        <f t="array" ref="A411">INDEX(clean_weekly_data!$A:$A,$E411)+MOD(ROW()-2,7)</f>
        <v>46065</v>
      </c>
      <c r="B411" s="39" t="str">
        <f t="shared" si="18"/>
        <v>Thursday</v>
      </c>
      <c r="C411" s="58" cm="1">
        <f t="array" ref="C411">INDEX(clean_weekly_data!$C:$I,$E411,MOD(ROW()-2,7)+1)</f>
        <v>5094</v>
      </c>
      <c r="D411" s="57" t="str">
        <f t="shared" si="17"/>
        <v>Feb 2026</v>
      </c>
      <c r="E411" s="39">
        <f t="shared" si="19"/>
        <v>60</v>
      </c>
    </row>
    <row r="412" spans="1:5" ht="25" customHeight="1" x14ac:dyDescent="0.15">
      <c r="A412" s="57" cm="1">
        <f t="array" ref="A412">INDEX(clean_weekly_data!$A:$A,$E412)+MOD(ROW()-2,7)</f>
        <v>46066</v>
      </c>
      <c r="B412" s="39" t="str">
        <f t="shared" si="18"/>
        <v>Friday</v>
      </c>
      <c r="C412" s="58" cm="1">
        <f t="array" ref="C412">INDEX(clean_weekly_data!$C:$I,$E412,MOD(ROW()-2,7)+1)</f>
        <v>15181</v>
      </c>
      <c r="D412" s="57" t="str">
        <f t="shared" si="17"/>
        <v>Feb 2026</v>
      </c>
      <c r="E412" s="39">
        <f t="shared" si="19"/>
        <v>60</v>
      </c>
    </row>
    <row r="413" spans="1:5" ht="25" customHeight="1" x14ac:dyDescent="0.15">
      <c r="A413" s="57" cm="1">
        <f t="array" ref="A413">INDEX(clean_weekly_data!$A:$A,$E413)+MOD(ROW()-2,7)</f>
        <v>46067</v>
      </c>
      <c r="B413" s="39" t="str">
        <f t="shared" si="18"/>
        <v>Saturday</v>
      </c>
      <c r="C413" s="58" cm="1">
        <f t="array" ref="C413">INDEX(clean_weekly_data!$C:$I,$E413,MOD(ROW()-2,7)+1)</f>
        <v>25266</v>
      </c>
      <c r="D413" s="57" t="str">
        <f t="shared" si="17"/>
        <v>Feb 2026</v>
      </c>
      <c r="E413" s="39">
        <f t="shared" si="19"/>
        <v>60</v>
      </c>
    </row>
    <row r="414" spans="1:5" ht="25" customHeight="1" x14ac:dyDescent="0.15">
      <c r="A414" s="57" cm="1">
        <f t="array" ref="A414">INDEX(clean_weekly_data!$A:$A,$E414)+MOD(ROW()-2,7)</f>
        <v>46068</v>
      </c>
      <c r="B414" s="39" t="str">
        <f t="shared" si="18"/>
        <v>Sunday</v>
      </c>
      <c r="C414" s="58" cm="1">
        <f t="array" ref="C414">INDEX(clean_weekly_data!$C:$I,$E414,MOD(ROW()-2,7)+1)</f>
        <v>10109</v>
      </c>
      <c r="D414" s="57" t="str">
        <f t="shared" si="17"/>
        <v>Feb 2026</v>
      </c>
      <c r="E414" s="39">
        <f t="shared" si="19"/>
        <v>60</v>
      </c>
    </row>
    <row r="415" spans="1:5" ht="25" customHeight="1" x14ac:dyDescent="0.15">
      <c r="A415" s="57" cm="1">
        <f t="array" ref="A415">INDEX(clean_weekly_data!$A:$A,$E415)+MOD(ROW()-2,7)</f>
        <v>46069</v>
      </c>
      <c r="B415" s="39" t="str">
        <f t="shared" si="18"/>
        <v>Monday</v>
      </c>
      <c r="C415" s="58" cm="1">
        <f t="array" ref="C415">INDEX(clean_weekly_data!$C:$I,$E415,MOD(ROW()-2,7)+1)</f>
        <v>2485</v>
      </c>
      <c r="D415" s="57" t="str">
        <f t="shared" si="17"/>
        <v>Feb 2026</v>
      </c>
      <c r="E415" s="39">
        <f t="shared" si="19"/>
        <v>61</v>
      </c>
    </row>
    <row r="416" spans="1:5" ht="25" customHeight="1" x14ac:dyDescent="0.15">
      <c r="A416" s="57" cm="1">
        <f t="array" ref="A416">INDEX(clean_weekly_data!$A:$A,$E416)+MOD(ROW()-2,7)</f>
        <v>46070</v>
      </c>
      <c r="B416" s="39" t="str">
        <f t="shared" si="18"/>
        <v>Tuesday</v>
      </c>
      <c r="C416" s="58" cm="1">
        <f t="array" ref="C416">INDEX(clean_weekly_data!$C:$I,$E416,MOD(ROW()-2,7)+1)</f>
        <v>1903</v>
      </c>
      <c r="D416" s="57" t="str">
        <f t="shared" si="17"/>
        <v>Feb 2026</v>
      </c>
      <c r="E416" s="39">
        <f t="shared" si="19"/>
        <v>61</v>
      </c>
    </row>
    <row r="417" spans="1:5" ht="25" customHeight="1" x14ac:dyDescent="0.15">
      <c r="A417" s="57" cm="1">
        <f t="array" ref="A417">INDEX(clean_weekly_data!$A:$A,$E417)+MOD(ROW()-2,7)</f>
        <v>46071</v>
      </c>
      <c r="B417" s="39" t="str">
        <f t="shared" si="18"/>
        <v>Wednesday</v>
      </c>
      <c r="C417" s="58" cm="1">
        <f t="array" ref="C417">INDEX(clean_weekly_data!$C:$I,$E417,MOD(ROW()-2,7)+1)</f>
        <v>2905</v>
      </c>
      <c r="D417" s="57" t="str">
        <f t="shared" si="17"/>
        <v>Feb 2026</v>
      </c>
      <c r="E417" s="39">
        <f t="shared" si="19"/>
        <v>61</v>
      </c>
    </row>
    <row r="418" spans="1:5" ht="25" customHeight="1" x14ac:dyDescent="0.15">
      <c r="A418" s="57" cm="1">
        <f t="array" ref="A418">INDEX(clean_weekly_data!$A:$A,$E418)+MOD(ROW()-2,7)</f>
        <v>46072</v>
      </c>
      <c r="B418" s="39" t="str">
        <f t="shared" si="18"/>
        <v>Thursday</v>
      </c>
      <c r="C418" s="58" cm="1">
        <f t="array" ref="C418">INDEX(clean_weekly_data!$C:$I,$E418,MOD(ROW()-2,7)+1)</f>
        <v>2339</v>
      </c>
      <c r="D418" s="57" t="str">
        <f t="shared" si="17"/>
        <v>Feb 2026</v>
      </c>
      <c r="E418" s="39">
        <f t="shared" si="19"/>
        <v>61</v>
      </c>
    </row>
    <row r="419" spans="1:5" ht="25" customHeight="1" x14ac:dyDescent="0.15">
      <c r="A419" s="57" cm="1">
        <f t="array" ref="A419">INDEX(clean_weekly_data!$A:$A,$E419)+MOD(ROW()-2,7)</f>
        <v>46073</v>
      </c>
      <c r="B419" s="39" t="str">
        <f t="shared" si="18"/>
        <v>Friday</v>
      </c>
      <c r="C419" s="58" cm="1">
        <f t="array" ref="C419">INDEX(clean_weekly_data!$C:$I,$E419,MOD(ROW()-2,7)+1)</f>
        <v>12915</v>
      </c>
      <c r="D419" s="57" t="str">
        <f t="shared" si="17"/>
        <v>Feb 2026</v>
      </c>
      <c r="E419" s="39">
        <f t="shared" si="19"/>
        <v>61</v>
      </c>
    </row>
    <row r="420" spans="1:5" ht="25" customHeight="1" x14ac:dyDescent="0.15">
      <c r="A420" s="57" cm="1">
        <f t="array" ref="A420">INDEX(clean_weekly_data!$A:$A,$E420)+MOD(ROW()-2,7)</f>
        <v>46074</v>
      </c>
      <c r="B420" s="39" t="str">
        <f t="shared" si="18"/>
        <v>Saturday</v>
      </c>
      <c r="C420" s="58" cm="1">
        <f t="array" ref="C420">INDEX(clean_weekly_data!$C:$I,$E420,MOD(ROW()-2,7)+1)</f>
        <v>12746</v>
      </c>
      <c r="D420" s="57" t="str">
        <f t="shared" si="17"/>
        <v>Feb 2026</v>
      </c>
      <c r="E420" s="39">
        <f t="shared" si="19"/>
        <v>61</v>
      </c>
    </row>
    <row r="421" spans="1:5" ht="25" customHeight="1" x14ac:dyDescent="0.15">
      <c r="A421" s="57" cm="1">
        <f t="array" ref="A421">INDEX(clean_weekly_data!$A:$A,$E421)+MOD(ROW()-2,7)</f>
        <v>46075</v>
      </c>
      <c r="B421" s="39" t="str">
        <f t="shared" si="18"/>
        <v>Sunday</v>
      </c>
      <c r="C421" s="58" cm="1">
        <f t="array" ref="C421">INDEX(clean_weekly_data!$C:$I,$E421,MOD(ROW()-2,7)+1)</f>
        <v>4933</v>
      </c>
      <c r="D421" s="57" t="str">
        <f t="shared" ref="D421:D464" si="20">TEXT(A421,"mmm yyyy")</f>
        <v>Feb 2026</v>
      </c>
      <c r="E421" s="39">
        <f t="shared" si="19"/>
        <v>61</v>
      </c>
    </row>
    <row r="422" spans="1:5" ht="25" customHeight="1" x14ac:dyDescent="0.15">
      <c r="A422" s="57" cm="1">
        <f t="array" ref="A422">INDEX(clean_weekly_data!$A:$A,$E422)+MOD(ROW()-2,7)</f>
        <v>46076</v>
      </c>
      <c r="B422" s="39" t="str">
        <f t="shared" si="18"/>
        <v>Monday</v>
      </c>
      <c r="C422" s="58" cm="1">
        <f t="array" ref="C422">INDEX(clean_weekly_data!$C:$I,$E422,MOD(ROW()-2,7)+1)</f>
        <v>2003</v>
      </c>
      <c r="D422" s="57" t="str">
        <f t="shared" si="20"/>
        <v>Feb 2026</v>
      </c>
      <c r="E422" s="39">
        <f t="shared" si="19"/>
        <v>62</v>
      </c>
    </row>
    <row r="423" spans="1:5" ht="25" customHeight="1" x14ac:dyDescent="0.15">
      <c r="A423" s="57" cm="1">
        <f t="array" ref="A423">INDEX(clean_weekly_data!$A:$A,$E423)+MOD(ROW()-2,7)</f>
        <v>46077</v>
      </c>
      <c r="B423" s="39" t="str">
        <f t="shared" si="18"/>
        <v>Tuesday</v>
      </c>
      <c r="C423" s="58" cm="1">
        <f t="array" ref="C423">INDEX(clean_weekly_data!$C:$I,$E423,MOD(ROW()-2,7)+1)</f>
        <v>2643</v>
      </c>
      <c r="D423" s="57" t="str">
        <f t="shared" si="20"/>
        <v>Feb 2026</v>
      </c>
      <c r="E423" s="39">
        <f t="shared" si="19"/>
        <v>62</v>
      </c>
    </row>
    <row r="424" spans="1:5" ht="25" customHeight="1" x14ac:dyDescent="0.15">
      <c r="A424" s="57" cm="1">
        <f t="array" ref="A424">INDEX(clean_weekly_data!$A:$A,$E424)+MOD(ROW()-2,7)</f>
        <v>46078</v>
      </c>
      <c r="B424" s="39" t="str">
        <f t="shared" si="18"/>
        <v>Wednesday</v>
      </c>
      <c r="C424" s="58" cm="1">
        <f t="array" ref="C424">INDEX(clean_weekly_data!$C:$I,$E424,MOD(ROW()-2,7)+1)</f>
        <v>2860</v>
      </c>
      <c r="D424" s="57" t="str">
        <f t="shared" si="20"/>
        <v>Feb 2026</v>
      </c>
      <c r="E424" s="39">
        <f t="shared" si="19"/>
        <v>62</v>
      </c>
    </row>
    <row r="425" spans="1:5" ht="25" customHeight="1" x14ac:dyDescent="0.15">
      <c r="A425" s="57" cm="1">
        <f t="array" ref="A425">INDEX(clean_weekly_data!$A:$A,$E425)+MOD(ROW()-2,7)</f>
        <v>46079</v>
      </c>
      <c r="B425" s="39" t="str">
        <f t="shared" si="18"/>
        <v>Thursday</v>
      </c>
      <c r="C425" s="58" cm="1">
        <f t="array" ref="C425">INDEX(clean_weekly_data!$C:$I,$E425,MOD(ROW()-2,7)+1)</f>
        <v>4115</v>
      </c>
      <c r="D425" s="57" t="str">
        <f t="shared" si="20"/>
        <v>Feb 2026</v>
      </c>
      <c r="E425" s="39">
        <f t="shared" si="19"/>
        <v>62</v>
      </c>
    </row>
    <row r="426" spans="1:5" ht="25" customHeight="1" x14ac:dyDescent="0.15">
      <c r="A426" s="57" cm="1">
        <f t="array" ref="A426">INDEX(clean_weekly_data!$A:$A,$E426)+MOD(ROW()-2,7)</f>
        <v>46080</v>
      </c>
      <c r="B426" s="39" t="str">
        <f t="shared" si="18"/>
        <v>Friday</v>
      </c>
      <c r="C426" s="58" cm="1">
        <f t="array" ref="C426">INDEX(clean_weekly_data!$C:$I,$E426,MOD(ROW()-2,7)+1)</f>
        <v>11254</v>
      </c>
      <c r="D426" s="57" t="str">
        <f t="shared" si="20"/>
        <v>Feb 2026</v>
      </c>
      <c r="E426" s="39">
        <f t="shared" si="19"/>
        <v>62</v>
      </c>
    </row>
    <row r="427" spans="1:5" ht="25" customHeight="1" x14ac:dyDescent="0.15">
      <c r="A427" s="57" cm="1">
        <f t="array" ref="A427">INDEX(clean_weekly_data!$A:$A,$E427)+MOD(ROW()-2,7)</f>
        <v>46081</v>
      </c>
      <c r="B427" s="39" t="str">
        <f t="shared" si="18"/>
        <v>Saturday</v>
      </c>
      <c r="C427" s="58" cm="1">
        <f t="array" ref="C427">INDEX(clean_weekly_data!$C:$I,$E427,MOD(ROW()-2,7)+1)</f>
        <v>12845</v>
      </c>
      <c r="D427" s="57" t="str">
        <f t="shared" si="20"/>
        <v>Feb 2026</v>
      </c>
      <c r="E427" s="39">
        <f t="shared" si="19"/>
        <v>62</v>
      </c>
    </row>
    <row r="428" spans="1:5" ht="25" customHeight="1" x14ac:dyDescent="0.15">
      <c r="A428" s="57" cm="1">
        <f t="array" ref="A428">INDEX(clean_weekly_data!$A:$A,$E428)+MOD(ROW()-2,7)</f>
        <v>46082</v>
      </c>
      <c r="B428" s="39" t="str">
        <f t="shared" si="18"/>
        <v>Sunday</v>
      </c>
      <c r="C428" s="58" cm="1">
        <f t="array" ref="C428">INDEX(clean_weekly_data!$C:$I,$E428,MOD(ROW()-2,7)+1)</f>
        <v>7102</v>
      </c>
      <c r="D428" s="57" t="str">
        <f t="shared" si="20"/>
        <v>Mar 2026</v>
      </c>
      <c r="E428" s="39">
        <f t="shared" si="19"/>
        <v>62</v>
      </c>
    </row>
    <row r="429" spans="1:5" ht="25" customHeight="1" x14ac:dyDescent="0.15">
      <c r="A429" s="57" cm="1">
        <f t="array" ref="A429">INDEX(clean_weekly_data!$A:$A,$E429)+MOD(ROW()-2,7)</f>
        <v>46083</v>
      </c>
      <c r="B429" s="39" t="str">
        <f t="shared" si="18"/>
        <v>Monday</v>
      </c>
      <c r="C429" s="58" cm="1">
        <f t="array" ref="C429">INDEX(clean_weekly_data!$C:$I,$E429,MOD(ROW()-2,7)+1)</f>
        <v>3598</v>
      </c>
      <c r="D429" s="57" t="str">
        <f t="shared" si="20"/>
        <v>Mar 2026</v>
      </c>
      <c r="E429" s="39">
        <f t="shared" si="19"/>
        <v>63</v>
      </c>
    </row>
    <row r="430" spans="1:5" ht="25" customHeight="1" x14ac:dyDescent="0.15">
      <c r="A430" s="57" cm="1">
        <f t="array" ref="A430">INDEX(clean_weekly_data!$A:$A,$E430)+MOD(ROW()-2,7)</f>
        <v>46084</v>
      </c>
      <c r="B430" s="39" t="str">
        <f t="shared" si="18"/>
        <v>Tuesday</v>
      </c>
      <c r="C430" s="58" cm="1">
        <f t="array" ref="C430">INDEX(clean_weekly_data!$C:$I,$E430,MOD(ROW()-2,7)+1)</f>
        <v>3333</v>
      </c>
      <c r="D430" s="57" t="str">
        <f t="shared" si="20"/>
        <v>Mar 2026</v>
      </c>
      <c r="E430" s="39">
        <f t="shared" si="19"/>
        <v>63</v>
      </c>
    </row>
    <row r="431" spans="1:5" ht="25" customHeight="1" x14ac:dyDescent="0.15">
      <c r="A431" s="57" cm="1">
        <f t="array" ref="A431">INDEX(clean_weekly_data!$A:$A,$E431)+MOD(ROW()-2,7)</f>
        <v>46085</v>
      </c>
      <c r="B431" s="39" t="str">
        <f t="shared" si="18"/>
        <v>Wednesday</v>
      </c>
      <c r="C431" s="58" cm="1">
        <f t="array" ref="C431">INDEX(clean_weekly_data!$C:$I,$E431,MOD(ROW()-2,7)+1)</f>
        <v>3266</v>
      </c>
      <c r="D431" s="57" t="str">
        <f t="shared" si="20"/>
        <v>Mar 2026</v>
      </c>
      <c r="E431" s="39">
        <f t="shared" si="19"/>
        <v>63</v>
      </c>
    </row>
    <row r="432" spans="1:5" ht="25" customHeight="1" x14ac:dyDescent="0.15">
      <c r="A432" s="57" cm="1">
        <f t="array" ref="A432">INDEX(clean_weekly_data!$A:$A,$E432)+MOD(ROW()-2,7)</f>
        <v>46086</v>
      </c>
      <c r="B432" s="39" t="str">
        <f t="shared" si="18"/>
        <v>Thursday</v>
      </c>
      <c r="C432" s="58" cm="1">
        <f t="array" ref="C432">INDEX(clean_weekly_data!$C:$I,$E432,MOD(ROW()-2,7)+1)</f>
        <v>5157</v>
      </c>
      <c r="D432" s="57" t="str">
        <f t="shared" si="20"/>
        <v>Mar 2026</v>
      </c>
      <c r="E432" s="39">
        <f t="shared" si="19"/>
        <v>63</v>
      </c>
    </row>
    <row r="433" spans="1:5" ht="25" customHeight="1" x14ac:dyDescent="0.15">
      <c r="A433" s="57" cm="1">
        <f t="array" ref="A433">INDEX(clean_weekly_data!$A:$A,$E433)+MOD(ROW()-2,7)</f>
        <v>46087</v>
      </c>
      <c r="B433" s="39" t="str">
        <f t="shared" si="18"/>
        <v>Friday</v>
      </c>
      <c r="C433" s="58" cm="1">
        <f t="array" ref="C433">INDEX(clean_weekly_data!$C:$I,$E433,MOD(ROW()-2,7)+1)</f>
        <v>10736</v>
      </c>
      <c r="D433" s="57" t="str">
        <f t="shared" si="20"/>
        <v>Mar 2026</v>
      </c>
      <c r="E433" s="39">
        <f t="shared" si="19"/>
        <v>63</v>
      </c>
    </row>
    <row r="434" spans="1:5" ht="25" customHeight="1" x14ac:dyDescent="0.15">
      <c r="A434" s="57" cm="1">
        <f t="array" ref="A434">INDEX(clean_weekly_data!$A:$A,$E434)+MOD(ROW()-2,7)</f>
        <v>46088</v>
      </c>
      <c r="B434" s="39" t="str">
        <f t="shared" si="18"/>
        <v>Saturday</v>
      </c>
      <c r="C434" s="58" cm="1">
        <f t="array" ref="C434">INDEX(clean_weekly_data!$C:$I,$E434,MOD(ROW()-2,7)+1)</f>
        <v>12238</v>
      </c>
      <c r="D434" s="57" t="str">
        <f t="shared" si="20"/>
        <v>Mar 2026</v>
      </c>
      <c r="E434" s="39">
        <f t="shared" si="19"/>
        <v>63</v>
      </c>
    </row>
    <row r="435" spans="1:5" ht="25" customHeight="1" x14ac:dyDescent="0.15">
      <c r="A435" s="57" cm="1">
        <f t="array" ref="A435">INDEX(clean_weekly_data!$A:$A,$E435)+MOD(ROW()-2,7)</f>
        <v>46089</v>
      </c>
      <c r="B435" s="39" t="str">
        <f t="shared" si="18"/>
        <v>Sunday</v>
      </c>
      <c r="C435" s="58" cm="1">
        <f t="array" ref="C435">INDEX(clean_weekly_data!$C:$I,$E435,MOD(ROW()-2,7)+1)</f>
        <v>6953</v>
      </c>
      <c r="D435" s="57" t="str">
        <f t="shared" si="20"/>
        <v>Mar 2026</v>
      </c>
      <c r="E435" s="39">
        <f t="shared" si="19"/>
        <v>63</v>
      </c>
    </row>
    <row r="436" spans="1:5" ht="25" customHeight="1" x14ac:dyDescent="0.15">
      <c r="A436" s="57" cm="1">
        <f t="array" ref="A436">INDEX(clean_weekly_data!$A:$A,$E436)+MOD(ROW()-2,7)</f>
        <v>46090</v>
      </c>
      <c r="B436" s="39" t="str">
        <f t="shared" si="18"/>
        <v>Monday</v>
      </c>
      <c r="C436" s="58" cm="1">
        <f t="array" ref="C436">INDEX(clean_weekly_data!$C:$I,$E436,MOD(ROW()-2,7)+1)</f>
        <v>3719</v>
      </c>
      <c r="D436" s="57" t="str">
        <f t="shared" si="20"/>
        <v>Mar 2026</v>
      </c>
      <c r="E436" s="39">
        <f t="shared" si="19"/>
        <v>64</v>
      </c>
    </row>
    <row r="437" spans="1:5" ht="25" customHeight="1" x14ac:dyDescent="0.15">
      <c r="A437" s="57" cm="1">
        <f t="array" ref="A437">INDEX(clean_weekly_data!$A:$A,$E437)+MOD(ROW()-2,7)</f>
        <v>46091</v>
      </c>
      <c r="B437" s="39" t="str">
        <f t="shared" si="18"/>
        <v>Tuesday</v>
      </c>
      <c r="C437" s="58" cm="1">
        <f t="array" ref="C437">INDEX(clean_weekly_data!$C:$I,$E437,MOD(ROW()-2,7)+1)</f>
        <v>1780</v>
      </c>
      <c r="D437" s="57" t="str">
        <f t="shared" si="20"/>
        <v>Mar 2026</v>
      </c>
      <c r="E437" s="39">
        <f t="shared" si="19"/>
        <v>64</v>
      </c>
    </row>
    <row r="438" spans="1:5" ht="25" customHeight="1" x14ac:dyDescent="0.15">
      <c r="A438" s="57" cm="1">
        <f t="array" ref="A438">INDEX(clean_weekly_data!$A:$A,$E438)+MOD(ROW()-2,7)</f>
        <v>46092</v>
      </c>
      <c r="B438" s="39" t="str">
        <f t="shared" si="18"/>
        <v>Wednesday</v>
      </c>
      <c r="C438" s="58" cm="1">
        <f t="array" ref="C438">INDEX(clean_weekly_data!$C:$I,$E438,MOD(ROW()-2,7)+1)</f>
        <v>3051</v>
      </c>
      <c r="D438" s="57" t="str">
        <f t="shared" si="20"/>
        <v>Mar 2026</v>
      </c>
      <c r="E438" s="39">
        <f t="shared" si="19"/>
        <v>64</v>
      </c>
    </row>
    <row r="439" spans="1:5" ht="25" customHeight="1" x14ac:dyDescent="0.15">
      <c r="A439" s="57" cm="1">
        <f t="array" ref="A439">INDEX(clean_weekly_data!$A:$A,$E439)+MOD(ROW()-2,7)</f>
        <v>46093</v>
      </c>
      <c r="B439" s="39" t="str">
        <f t="shared" si="18"/>
        <v>Thursday</v>
      </c>
      <c r="C439" s="58" cm="1">
        <f t="array" ref="C439">INDEX(clean_weekly_data!$C:$I,$E439,MOD(ROW()-2,7)+1)</f>
        <v>4918</v>
      </c>
      <c r="D439" s="57" t="str">
        <f t="shared" si="20"/>
        <v>Mar 2026</v>
      </c>
      <c r="E439" s="39">
        <f t="shared" si="19"/>
        <v>64</v>
      </c>
    </row>
    <row r="440" spans="1:5" ht="25" customHeight="1" x14ac:dyDescent="0.15">
      <c r="A440" s="57" cm="1">
        <f t="array" ref="A440">INDEX(clean_weekly_data!$A:$A,$E440)+MOD(ROW()-2,7)</f>
        <v>46094</v>
      </c>
      <c r="B440" s="39" t="str">
        <f t="shared" si="18"/>
        <v>Friday</v>
      </c>
      <c r="C440" s="58" cm="1">
        <f t="array" ref="C440">INDEX(clean_weekly_data!$C:$I,$E440,MOD(ROW()-2,7)+1)</f>
        <v>11644</v>
      </c>
      <c r="D440" s="57" t="str">
        <f t="shared" si="20"/>
        <v>Mar 2026</v>
      </c>
      <c r="E440" s="39">
        <f t="shared" si="19"/>
        <v>64</v>
      </c>
    </row>
    <row r="441" spans="1:5" ht="25" customHeight="1" x14ac:dyDescent="0.15">
      <c r="A441" s="57" cm="1">
        <f t="array" ref="A441">INDEX(clean_weekly_data!$A:$A,$E441)+MOD(ROW()-2,7)</f>
        <v>46095</v>
      </c>
      <c r="B441" s="39" t="str">
        <f t="shared" si="18"/>
        <v>Saturday</v>
      </c>
      <c r="C441" s="58" cm="1">
        <f t="array" ref="C441">INDEX(clean_weekly_data!$C:$I,$E441,MOD(ROW()-2,7)+1)</f>
        <v>0</v>
      </c>
      <c r="D441" s="57" t="str">
        <f t="shared" si="20"/>
        <v>Mar 2026</v>
      </c>
      <c r="E441" s="39">
        <f t="shared" si="19"/>
        <v>64</v>
      </c>
    </row>
    <row r="442" spans="1:5" ht="25" customHeight="1" x14ac:dyDescent="0.15">
      <c r="A442" s="57" cm="1">
        <f t="array" ref="A442">INDEX(clean_weekly_data!$A:$A,$E442)+MOD(ROW()-2,7)</f>
        <v>46096</v>
      </c>
      <c r="B442" s="39" t="str">
        <f t="shared" si="18"/>
        <v>Sunday</v>
      </c>
      <c r="C442" s="58" cm="1">
        <f t="array" ref="C442">INDEX(clean_weekly_data!$C:$I,$E442,MOD(ROW()-2,7)+1)</f>
        <v>0</v>
      </c>
      <c r="D442" s="57" t="str">
        <f t="shared" si="20"/>
        <v>Mar 2026</v>
      </c>
      <c r="E442" s="39">
        <f t="shared" si="19"/>
        <v>64</v>
      </c>
    </row>
    <row r="443" spans="1:5" ht="25" customHeight="1" x14ac:dyDescent="0.15">
      <c r="A443" s="57"/>
      <c r="B443" s="39"/>
      <c r="C443" s="58"/>
      <c r="D443" s="57"/>
      <c r="E443" s="39"/>
    </row>
    <row r="444" spans="1:5" ht="20" customHeight="1" x14ac:dyDescent="0.15">
      <c r="A444" s="57"/>
      <c r="B444" s="39"/>
      <c r="C444" s="58"/>
      <c r="D444" s="57"/>
      <c r="E444" s="39"/>
    </row>
    <row r="445" spans="1:5" ht="20" customHeight="1" x14ac:dyDescent="0.15">
      <c r="A445" s="57"/>
      <c r="B445" s="39"/>
      <c r="C445" s="58"/>
      <c r="D445" s="57"/>
      <c r="E445" s="39"/>
    </row>
    <row r="446" spans="1:5" ht="20" customHeight="1" x14ac:dyDescent="0.15">
      <c r="A446" s="57"/>
      <c r="B446" s="39"/>
      <c r="C446" s="58"/>
      <c r="D446" s="57"/>
      <c r="E446" s="39"/>
    </row>
    <row r="447" spans="1:5" ht="20" customHeight="1" x14ac:dyDescent="0.15">
      <c r="A447" s="57"/>
      <c r="B447" s="39"/>
      <c r="C447" s="58"/>
      <c r="D447" s="57"/>
      <c r="E447" s="39"/>
    </row>
    <row r="448" spans="1:5" ht="20" customHeight="1" x14ac:dyDescent="0.15">
      <c r="A448" s="57"/>
      <c r="B448" s="39"/>
      <c r="C448" s="58"/>
      <c r="D448" s="57"/>
      <c r="E448" s="39"/>
    </row>
    <row r="449" spans="1:5" ht="20" customHeight="1" x14ac:dyDescent="0.15">
      <c r="A449" s="57"/>
      <c r="B449" s="39"/>
      <c r="C449" s="58"/>
      <c r="D449" s="57"/>
      <c r="E449" s="39"/>
    </row>
    <row r="450" spans="1:5" ht="20" customHeight="1" x14ac:dyDescent="0.15">
      <c r="A450" s="57"/>
      <c r="B450" s="39"/>
      <c r="C450" s="58"/>
      <c r="D450" s="57"/>
      <c r="E450" s="39"/>
    </row>
    <row r="451" spans="1:5" ht="20" customHeight="1" x14ac:dyDescent="0.15">
      <c r="A451" s="57"/>
      <c r="B451" s="39"/>
      <c r="C451" s="58"/>
      <c r="D451" s="57"/>
      <c r="E451" s="39"/>
    </row>
    <row r="452" spans="1:5" ht="20" customHeight="1" x14ac:dyDescent="0.15">
      <c r="A452" s="57"/>
      <c r="B452" s="39"/>
      <c r="C452" s="58"/>
      <c r="D452" s="57"/>
      <c r="E452" s="39"/>
    </row>
    <row r="453" spans="1:5" ht="20" customHeight="1" x14ac:dyDescent="0.15">
      <c r="A453" s="57"/>
      <c r="B453" s="39"/>
      <c r="C453" s="58"/>
      <c r="D453" s="57"/>
      <c r="E453" s="39"/>
    </row>
    <row r="454" spans="1:5" ht="20" customHeight="1" x14ac:dyDescent="0.15">
      <c r="A454" s="57"/>
      <c r="B454" s="39"/>
      <c r="C454" s="58"/>
      <c r="D454" s="57"/>
      <c r="E454" s="39"/>
    </row>
    <row r="455" spans="1:5" ht="20" customHeight="1" x14ac:dyDescent="0.15">
      <c r="A455" s="57"/>
      <c r="B455" s="39"/>
      <c r="C455" s="58"/>
      <c r="D455" s="57"/>
      <c r="E455" s="39"/>
    </row>
    <row r="456" spans="1:5" ht="20" customHeight="1" x14ac:dyDescent="0.15">
      <c r="A456" s="57"/>
      <c r="B456" s="39"/>
      <c r="C456" s="58"/>
      <c r="D456" s="57"/>
      <c r="E456" s="39"/>
    </row>
    <row r="457" spans="1:5" ht="20" customHeight="1" x14ac:dyDescent="0.15">
      <c r="A457" s="57"/>
      <c r="B457" s="39"/>
      <c r="C457" s="58"/>
      <c r="D457" s="57"/>
      <c r="E457" s="39"/>
    </row>
    <row r="458" spans="1:5" ht="20" customHeight="1" x14ac:dyDescent="0.15">
      <c r="A458" s="57"/>
      <c r="B458" s="39"/>
      <c r="C458" s="58"/>
      <c r="D458" s="57"/>
      <c r="E458" s="39"/>
    </row>
    <row r="459" spans="1:5" ht="20" customHeight="1" x14ac:dyDescent="0.15">
      <c r="A459" s="57"/>
      <c r="B459" s="39"/>
      <c r="C459" s="58"/>
      <c r="D459" s="57"/>
      <c r="E459" s="39"/>
    </row>
    <row r="460" spans="1:5" ht="20" customHeight="1" x14ac:dyDescent="0.15">
      <c r="A460" s="57"/>
      <c r="B460" s="39"/>
      <c r="C460" s="58"/>
      <c r="D460" s="57"/>
      <c r="E460" s="39"/>
    </row>
    <row r="461" spans="1:5" ht="20" customHeight="1" x14ac:dyDescent="0.15">
      <c r="A461" s="57"/>
      <c r="B461" s="39"/>
      <c r="C461" s="58"/>
      <c r="D461" s="57"/>
      <c r="E461" s="39"/>
    </row>
    <row r="462" spans="1:5" ht="20" customHeight="1" x14ac:dyDescent="0.15">
      <c r="A462" s="57"/>
      <c r="B462" s="39"/>
      <c r="C462" s="58"/>
      <c r="D462" s="57"/>
      <c r="E462" s="39"/>
    </row>
    <row r="463" spans="1:5" ht="20" customHeight="1" x14ac:dyDescent="0.15">
      <c r="C463" s="58"/>
      <c r="D463" s="57"/>
      <c r="E463" s="39"/>
    </row>
    <row r="464" spans="1:5" ht="20" customHeight="1" x14ac:dyDescent="0.15">
      <c r="C464" s="58"/>
      <c r="D464" s="57"/>
      <c r="E464" s="39"/>
    </row>
    <row r="465" spans="3:5" ht="20" customHeight="1" x14ac:dyDescent="0.15">
      <c r="C465" s="58"/>
      <c r="E465" s="39"/>
    </row>
    <row r="466" spans="3:5" ht="20" customHeight="1" x14ac:dyDescent="0.15">
      <c r="C466" s="58"/>
      <c r="E466" s="39"/>
    </row>
    <row r="467" spans="3:5" ht="20" customHeight="1" x14ac:dyDescent="0.15">
      <c r="C467" s="58"/>
    </row>
    <row r="468" spans="3:5" ht="20" customHeight="1" x14ac:dyDescent="0.15">
      <c r="C468" s="58"/>
    </row>
    <row r="469" spans="3:5" ht="20" customHeight="1" x14ac:dyDescent="0.15">
      <c r="C469" s="58"/>
    </row>
    <row r="470" spans="3:5" ht="20" customHeight="1" x14ac:dyDescent="0.15">
      <c r="C470" s="58"/>
    </row>
    <row r="471" spans="3:5" ht="20" customHeight="1" x14ac:dyDescent="0.15">
      <c r="C471" s="58"/>
    </row>
    <row r="472" spans="3:5" ht="20" customHeight="1" x14ac:dyDescent="0.15">
      <c r="C472" s="58"/>
    </row>
    <row r="473" spans="3:5" ht="20" customHeight="1" x14ac:dyDescent="0.15">
      <c r="C473" s="58"/>
    </row>
    <row r="474" spans="3:5" ht="20" customHeight="1" x14ac:dyDescent="0.15">
      <c r="C474" s="58"/>
    </row>
    <row r="475" spans="3:5" ht="20" customHeight="1" x14ac:dyDescent="0.15">
      <c r="C475" s="58"/>
    </row>
    <row r="476" spans="3:5" ht="20" customHeight="1" x14ac:dyDescent="0.15">
      <c r="C476" s="58"/>
    </row>
    <row r="477" spans="3:5" ht="20" customHeight="1" x14ac:dyDescent="0.15">
      <c r="C477" s="58"/>
    </row>
    <row r="478" spans="3:5" ht="20" customHeight="1" x14ac:dyDescent="0.15">
      <c r="C478" s="58"/>
    </row>
    <row r="479" spans="3:5" ht="20" customHeight="1" x14ac:dyDescent="0.15">
      <c r="C479" s="5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E0D17-666D-8045-8E2F-C7EED3A55953}">
  <dimension ref="A1:AK59"/>
  <sheetViews>
    <sheetView showGridLines="0" showRowColHeaders="0" workbookViewId="0">
      <selection activeCell="AA41" sqref="AA41"/>
    </sheetView>
  </sheetViews>
  <sheetFormatPr baseColWidth="10" defaultRowHeight="13" x14ac:dyDescent="0.15"/>
  <cols>
    <col min="1" max="1" width="3.83203125" customWidth="1"/>
    <col min="2" max="4" width="12.83203125" customWidth="1"/>
    <col min="5" max="5" width="2.83203125" customWidth="1"/>
    <col min="6" max="8" width="12.83203125" customWidth="1"/>
    <col min="9" max="9" width="2.83203125" customWidth="1"/>
    <col min="10" max="12" width="12.83203125" customWidth="1"/>
    <col min="13" max="13" width="2.83203125" customWidth="1"/>
    <col min="14" max="16" width="12.83203125" customWidth="1"/>
    <col min="17" max="17" width="2.83203125" customWidth="1"/>
    <col min="18" max="20" width="12.83203125" customWidth="1"/>
    <col min="28" max="28" width="12.33203125" customWidth="1"/>
    <col min="29" max="29" width="17" customWidth="1"/>
    <col min="30" max="30" width="18.6640625" customWidth="1"/>
    <col min="33" max="33" width="19.1640625" customWidth="1"/>
    <col min="34" max="34" width="23.83203125" customWidth="1"/>
    <col min="35" max="35" width="24.6640625" customWidth="1"/>
    <col min="36" max="36" width="19.33203125" customWidth="1"/>
    <col min="37" max="37" width="27.83203125" customWidth="1"/>
  </cols>
  <sheetData>
    <row r="1" spans="1:37" ht="56" customHeight="1" thickBot="1" x14ac:dyDescent="0.2">
      <c r="A1" s="75"/>
      <c r="B1" s="89" t="s">
        <v>115</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row>
    <row r="2" spans="1:37" s="78" customFormat="1" ht="22" customHeight="1" thickTop="1" x14ac:dyDescent="0.15">
      <c r="A2" s="77"/>
      <c r="B2" s="76"/>
      <c r="C2" s="76"/>
      <c r="D2" s="76"/>
      <c r="E2" s="76"/>
      <c r="F2" s="76"/>
      <c r="G2" s="76"/>
      <c r="H2" s="76"/>
      <c r="I2" s="76"/>
      <c r="J2" s="76"/>
      <c r="K2" s="76"/>
      <c r="L2" s="76"/>
      <c r="M2" s="76"/>
      <c r="N2" s="76"/>
      <c r="O2" s="76"/>
      <c r="P2" s="76"/>
      <c r="Q2" s="76"/>
      <c r="R2" s="76"/>
      <c r="S2" s="76"/>
      <c r="T2" s="76"/>
      <c r="U2" s="76"/>
      <c r="V2" s="76"/>
      <c r="W2" s="76"/>
      <c r="X2" s="76"/>
      <c r="Y2" s="76"/>
      <c r="Z2" s="76"/>
      <c r="AA2" s="76"/>
      <c r="AB2" s="76"/>
      <c r="AC2" s="76"/>
      <c r="AD2" s="76"/>
    </row>
    <row r="3" spans="1:37" ht="26" customHeight="1" thickBot="1" x14ac:dyDescent="0.2">
      <c r="B3" s="88" t="s">
        <v>121</v>
      </c>
      <c r="C3" s="88"/>
      <c r="D3" s="88"/>
      <c r="E3" s="88"/>
      <c r="F3" s="79"/>
      <c r="G3" s="79"/>
      <c r="J3" s="74"/>
      <c r="K3" s="74"/>
      <c r="AG3" s="60" t="s">
        <v>101</v>
      </c>
      <c r="AH3" s="61" t="s">
        <v>116</v>
      </c>
      <c r="AI3" s="61" t="s">
        <v>117</v>
      </c>
      <c r="AJ3" s="60" t="s">
        <v>99</v>
      </c>
      <c r="AK3" s="60" t="s">
        <v>100</v>
      </c>
    </row>
    <row r="4" spans="1:37" ht="20" customHeight="1" thickTop="1" x14ac:dyDescent="0.15">
      <c r="B4" s="74"/>
      <c r="C4" s="74"/>
      <c r="D4" s="74"/>
      <c r="E4" s="74"/>
      <c r="F4" s="74"/>
      <c r="G4" s="74"/>
      <c r="J4" s="74"/>
      <c r="K4" s="74"/>
      <c r="AG4" t="str">
        <f>TEXT(clean_monthly_summary!A2,"mmm yyyy")</f>
        <v>Jan 2025</v>
      </c>
      <c r="AH4" s="47">
        <f>clean_monthly_summary!B2</f>
        <v>178806.93</v>
      </c>
      <c r="AI4" s="47">
        <f>clean_monthly_summary!D2</f>
        <v>187244</v>
      </c>
      <c r="AJ4">
        <f>clean_monthly_summary!E2</f>
        <v>-8437.070000000007</v>
      </c>
      <c r="AK4">
        <f>clean_monthly_summary!F2</f>
        <v>-8437.070000000007</v>
      </c>
    </row>
    <row r="5" spans="1:37" ht="34" customHeight="1" x14ac:dyDescent="0.15">
      <c r="B5" s="87" t="s">
        <v>110</v>
      </c>
      <c r="C5" s="87"/>
      <c r="D5" s="87"/>
      <c r="E5" s="68"/>
      <c r="F5" s="87" t="s">
        <v>111</v>
      </c>
      <c r="G5" s="87"/>
      <c r="H5" s="87"/>
      <c r="I5" s="69"/>
      <c r="J5" s="87" t="s">
        <v>113</v>
      </c>
      <c r="K5" s="87"/>
      <c r="L5" s="87"/>
      <c r="M5" s="69"/>
      <c r="N5" s="87" t="s">
        <v>114</v>
      </c>
      <c r="O5" s="87"/>
      <c r="P5" s="87"/>
      <c r="Q5" s="69"/>
      <c r="R5" s="87" t="s">
        <v>112</v>
      </c>
      <c r="S5" s="87"/>
      <c r="T5" s="87"/>
      <c r="AG5" t="str">
        <f>TEXT(clean_monthly_summary!A3,"mmm yyyy")</f>
        <v>Feb 2025</v>
      </c>
      <c r="AH5" s="47">
        <f>clean_monthly_summary!B3</f>
        <v>166063.77000000002</v>
      </c>
      <c r="AI5" s="47">
        <f>clean_monthly_summary!D3</f>
        <v>187244</v>
      </c>
      <c r="AJ5">
        <f>clean_monthly_summary!E3</f>
        <v>-21180.229999999981</v>
      </c>
      <c r="AK5">
        <f>clean_monthly_summary!F3</f>
        <v>-29617.299999999988</v>
      </c>
    </row>
    <row r="6" spans="1:37" ht="25" customHeight="1" x14ac:dyDescent="0.2">
      <c r="B6" s="86">
        <f>SUM(clean_monthly_summary!B2:B15)</f>
        <v>2788112.4600000004</v>
      </c>
      <c r="C6" s="86"/>
      <c r="D6" s="86"/>
      <c r="E6" s="70"/>
      <c r="F6" s="86">
        <f>AVERAGE(clean_monthly_summary!B2:B15)</f>
        <v>199150.89000000004</v>
      </c>
      <c r="G6" s="86"/>
      <c r="H6" s="86"/>
      <c r="I6" s="71"/>
      <c r="J6" s="72" t="str">
        <f>TEXT(INDEX(clean_monthly_summary!A2:A15,MATCH(MAX(clean_monthly_summary!B2:B15),clean_monthly_summary!B2:B15,0)),"mmm yyyy")</f>
        <v>Aug 2025</v>
      </c>
      <c r="K6" s="72"/>
      <c r="L6" s="72"/>
      <c r="M6" s="73"/>
      <c r="N6" s="72" t="str">
        <f>TEXT(INDEX(clean_monthly_summary!A2:A15,MATCH(MIN(clean_monthly_summary!B2:B15),clean_monthly_summary!B2:B15,0)),"mmm yyyy")</f>
        <v>Apr 2025</v>
      </c>
      <c r="O6" s="72"/>
      <c r="P6" s="72"/>
      <c r="Q6" s="71"/>
      <c r="R6" s="86">
        <f>clean_monthly_summary!F15</f>
        <v>95951.46000000005</v>
      </c>
      <c r="S6" s="86"/>
      <c r="T6" s="86"/>
      <c r="AG6" t="str">
        <f>TEXT(clean_monthly_summary!A4,"mmm yyyy")</f>
        <v>Mar 2025</v>
      </c>
      <c r="AH6" s="47">
        <f>clean_monthly_summary!B4</f>
        <v>183855.6</v>
      </c>
      <c r="AI6" s="47">
        <f>clean_monthly_summary!D4</f>
        <v>187244</v>
      </c>
      <c r="AJ6">
        <f>clean_monthly_summary!E4</f>
        <v>-3388.3999999999942</v>
      </c>
      <c r="AK6">
        <f>clean_monthly_summary!F4</f>
        <v>-33005.699999999983</v>
      </c>
    </row>
    <row r="7" spans="1:37" ht="25" customHeight="1" x14ac:dyDescent="0.15">
      <c r="B7" s="86"/>
      <c r="C7" s="86"/>
      <c r="D7" s="86"/>
      <c r="E7" s="70"/>
      <c r="F7" s="86"/>
      <c r="G7" s="86"/>
      <c r="H7" s="86"/>
      <c r="I7" s="71"/>
      <c r="J7" s="86">
        <f>MAX(clean_monthly_summary!B2:B15)</f>
        <v>275185.5</v>
      </c>
      <c r="K7" s="86"/>
      <c r="L7" s="86"/>
      <c r="M7" s="71"/>
      <c r="N7" s="86">
        <f>MIN(clean_monthly_summary!B2:B15)</f>
        <v>152162.5</v>
      </c>
      <c r="O7" s="86"/>
      <c r="P7" s="86"/>
      <c r="Q7" s="71"/>
      <c r="R7" s="86"/>
      <c r="S7" s="86"/>
      <c r="T7" s="86"/>
      <c r="AG7" t="str">
        <f>TEXT(clean_monthly_summary!A5,"mmm yyyy")</f>
        <v>Apr 2025</v>
      </c>
      <c r="AH7" s="47">
        <f>clean_monthly_summary!B5</f>
        <v>152162.5</v>
      </c>
      <c r="AI7" s="47">
        <f>clean_monthly_summary!D5</f>
        <v>187244</v>
      </c>
      <c r="AJ7">
        <f>clean_monthly_summary!E5</f>
        <v>-35081.5</v>
      </c>
      <c r="AK7">
        <f>clean_monthly_summary!F5</f>
        <v>-68087.199999999983</v>
      </c>
    </row>
    <row r="8" spans="1:37" ht="25" customHeight="1" x14ac:dyDescent="0.15">
      <c r="B8" s="86"/>
      <c r="C8" s="86"/>
      <c r="D8" s="86"/>
      <c r="E8" s="70"/>
      <c r="F8" s="86"/>
      <c r="G8" s="86"/>
      <c r="H8" s="86"/>
      <c r="I8" s="71"/>
      <c r="J8" s="86"/>
      <c r="K8" s="86"/>
      <c r="L8" s="86"/>
      <c r="M8" s="71"/>
      <c r="N8" s="86"/>
      <c r="O8" s="86"/>
      <c r="P8" s="86"/>
      <c r="Q8" s="71"/>
      <c r="R8" s="86"/>
      <c r="S8" s="86"/>
      <c r="T8" s="86"/>
      <c r="AG8" t="str">
        <f>TEXT(clean_monthly_summary!A6,"mmm yyyy")</f>
        <v>May 2025</v>
      </c>
      <c r="AH8" s="47">
        <f>clean_monthly_summary!B6</f>
        <v>217771.75</v>
      </c>
      <c r="AI8" s="47">
        <f>clean_monthly_summary!D6</f>
        <v>187244</v>
      </c>
      <c r="AJ8">
        <f>clean_monthly_summary!E6</f>
        <v>30527.75</v>
      </c>
      <c r="AK8">
        <f>clean_monthly_summary!F6</f>
        <v>-37559.449999999983</v>
      </c>
    </row>
    <row r="9" spans="1:37" ht="25" customHeight="1" x14ac:dyDescent="0.15">
      <c r="AG9" t="str">
        <f>TEXT(clean_monthly_summary!A7,"mmm yyyy")</f>
        <v>Jun 2025</v>
      </c>
      <c r="AH9" s="47">
        <f>clean_monthly_summary!B7</f>
        <v>229797.6</v>
      </c>
      <c r="AI9" s="47">
        <f>clean_monthly_summary!D7</f>
        <v>201393</v>
      </c>
      <c r="AJ9">
        <f>clean_monthly_summary!E7</f>
        <v>28404.600000000006</v>
      </c>
      <c r="AK9">
        <f>clean_monthly_summary!F7</f>
        <v>-9154.8499999999767</v>
      </c>
    </row>
    <row r="10" spans="1:37" ht="25" customHeight="1" x14ac:dyDescent="0.15">
      <c r="AG10" t="str">
        <f>TEXT(clean_monthly_summary!A8,"mmm yyyy")</f>
        <v>Jul 2025</v>
      </c>
      <c r="AH10" s="47">
        <f>clean_monthly_summary!B8</f>
        <v>250256.56</v>
      </c>
      <c r="AI10" s="47">
        <f>clean_monthly_summary!D8</f>
        <v>201393</v>
      </c>
      <c r="AJ10">
        <f>clean_monthly_summary!E8</f>
        <v>48863.56</v>
      </c>
      <c r="AK10">
        <f>clean_monthly_summary!F8</f>
        <v>39708.710000000021</v>
      </c>
    </row>
    <row r="11" spans="1:37" ht="25" customHeight="1" x14ac:dyDescent="0.15">
      <c r="AG11" t="str">
        <f>TEXT(clean_monthly_summary!A9,"mmm yyyy")</f>
        <v>Aug 2025</v>
      </c>
      <c r="AH11" s="47">
        <f>clean_monthly_summary!B9</f>
        <v>275185.5</v>
      </c>
      <c r="AI11" s="47">
        <f>clean_monthly_summary!D9</f>
        <v>201393</v>
      </c>
      <c r="AJ11">
        <f>clean_monthly_summary!E9</f>
        <v>73792.5</v>
      </c>
      <c r="AK11">
        <f>clean_monthly_summary!F9</f>
        <v>113501.21000000002</v>
      </c>
    </row>
    <row r="12" spans="1:37" ht="25" customHeight="1" x14ac:dyDescent="0.15">
      <c r="B12" s="33"/>
      <c r="C12" s="33"/>
      <c r="D12" s="33"/>
      <c r="E12" s="33"/>
      <c r="F12" s="33"/>
      <c r="G12" s="33"/>
      <c r="H12" s="33"/>
      <c r="AG12" t="str">
        <f>TEXT(clean_monthly_summary!A10,"mmm yyyy")</f>
        <v>Sep 2025</v>
      </c>
      <c r="AH12" s="47">
        <f>clean_monthly_summary!B10</f>
        <v>206815.90000000002</v>
      </c>
      <c r="AI12" s="47">
        <f>clean_monthly_summary!D10</f>
        <v>201393</v>
      </c>
      <c r="AJ12">
        <f>clean_monthly_summary!E10</f>
        <v>5422.9000000000233</v>
      </c>
      <c r="AK12">
        <f>clean_monthly_summary!F10</f>
        <v>118924.11000000004</v>
      </c>
    </row>
    <row r="13" spans="1:37" ht="25" customHeight="1" x14ac:dyDescent="0.15">
      <c r="AG13" t="str">
        <f>TEXT(clean_monthly_summary!A11,"mmm yyyy")</f>
        <v>Oct 2025</v>
      </c>
      <c r="AH13" s="47">
        <f>clean_monthly_summary!B11</f>
        <v>196713.35</v>
      </c>
      <c r="AI13" s="47">
        <f>clean_monthly_summary!D11</f>
        <v>201393</v>
      </c>
      <c r="AJ13">
        <f>clean_monthly_summary!E11</f>
        <v>-4679.6499999999942</v>
      </c>
      <c r="AK13">
        <f>clean_monthly_summary!F11</f>
        <v>114244.46000000005</v>
      </c>
    </row>
    <row r="14" spans="1:37" ht="25" customHeight="1" x14ac:dyDescent="0.15">
      <c r="AG14" t="str">
        <f>TEXT(clean_monthly_summary!A12,"mmm yyyy")</f>
        <v>Nov 2025</v>
      </c>
      <c r="AH14" s="47">
        <f>clean_monthly_summary!B12</f>
        <v>176875</v>
      </c>
      <c r="AI14" s="47">
        <f>clean_monthly_summary!D12</f>
        <v>187244</v>
      </c>
      <c r="AJ14">
        <f>clean_monthly_summary!E12</f>
        <v>-10369</v>
      </c>
      <c r="AK14">
        <f>clean_monthly_summary!F12</f>
        <v>103875.46000000005</v>
      </c>
    </row>
    <row r="15" spans="1:37" ht="25" customHeight="1" x14ac:dyDescent="0.15">
      <c r="AG15" t="str">
        <f>TEXT(clean_monthly_summary!A13,"mmm yyyy")</f>
        <v>Dec 2025</v>
      </c>
      <c r="AH15" s="47">
        <f>clean_monthly_summary!B13</f>
        <v>184002</v>
      </c>
      <c r="AI15" s="47">
        <f>clean_monthly_summary!D13</f>
        <v>187244</v>
      </c>
      <c r="AJ15">
        <f>clean_monthly_summary!E13</f>
        <v>-3242</v>
      </c>
      <c r="AK15">
        <f>clean_monthly_summary!F13</f>
        <v>100633.46000000005</v>
      </c>
    </row>
    <row r="16" spans="1:37" ht="25" customHeight="1" x14ac:dyDescent="0.15">
      <c r="AG16" t="str">
        <f>TEXT(clean_monthly_summary!A14,"mmm yyyy")</f>
        <v>Jan 2026</v>
      </c>
      <c r="AH16" s="47">
        <f>clean_monthly_summary!B14</f>
        <v>188741</v>
      </c>
      <c r="AI16" s="47">
        <f>clean_monthly_summary!D14</f>
        <v>187244</v>
      </c>
      <c r="AJ16">
        <f>clean_monthly_summary!E14</f>
        <v>1497</v>
      </c>
      <c r="AK16">
        <f>clean_monthly_summary!F14</f>
        <v>102130.46000000005</v>
      </c>
    </row>
    <row r="17" spans="33:37" ht="25" customHeight="1" x14ac:dyDescent="0.15">
      <c r="AG17" t="str">
        <f>TEXT(clean_monthly_summary!A15,"mmm yyyy")</f>
        <v>Feb 2026</v>
      </c>
      <c r="AH17" s="47">
        <f>clean_monthly_summary!B15</f>
        <v>181065</v>
      </c>
      <c r="AI17" s="47">
        <f>clean_monthly_summary!D15</f>
        <v>187244</v>
      </c>
      <c r="AJ17">
        <f>clean_monthly_summary!E15</f>
        <v>-6179</v>
      </c>
      <c r="AK17">
        <f>clean_monthly_summary!F15</f>
        <v>95951.46000000005</v>
      </c>
    </row>
    <row r="18" spans="33:37" ht="25" customHeight="1" x14ac:dyDescent="0.15"/>
    <row r="19" spans="33:37" ht="25" customHeight="1" x14ac:dyDescent="0.15"/>
    <row r="20" spans="33:37" ht="25" customHeight="1" x14ac:dyDescent="0.15"/>
    <row r="21" spans="33:37" ht="25" customHeight="1" x14ac:dyDescent="0.15"/>
    <row r="22" spans="33:37" ht="25" customHeight="1" thickBot="1" x14ac:dyDescent="0.2">
      <c r="AG22" s="80" t="s">
        <v>105</v>
      </c>
      <c r="AH22" s="81" t="s">
        <v>118</v>
      </c>
    </row>
    <row r="23" spans="33:37" ht="25" customHeight="1" thickTop="1" x14ac:dyDescent="0.15">
      <c r="AG23" s="33" t="s">
        <v>2</v>
      </c>
      <c r="AH23" s="47">
        <f>AVERAGEIF(daily_sales_helper!$B:$B,AG23,daily_sales_helper!$C:$C)</f>
        <v>3631.718095238095</v>
      </c>
    </row>
    <row r="24" spans="33:37" ht="25" customHeight="1" x14ac:dyDescent="0.15">
      <c r="AG24" s="33" t="s">
        <v>3</v>
      </c>
      <c r="AH24" s="47">
        <f>AVERAGEIF(daily_sales_helper!$B:$B,AG24,daily_sales_helper!$C:$C)</f>
        <v>2332.6279365079363</v>
      </c>
    </row>
    <row r="25" spans="33:37" ht="25" customHeight="1" x14ac:dyDescent="0.15">
      <c r="AG25" s="33" t="s">
        <v>4</v>
      </c>
      <c r="AH25" s="47">
        <f>AVERAGEIF(daily_sales_helper!$B:$B,AG25,daily_sales_helper!$C:$C)</f>
        <v>4337.9984126984127</v>
      </c>
    </row>
    <row r="26" spans="33:37" ht="25" customHeight="1" x14ac:dyDescent="0.15">
      <c r="AG26" s="33" t="s">
        <v>5</v>
      </c>
      <c r="AH26" s="47">
        <f>AVERAGEIF(daily_sales_helper!$B:$B,AG26,daily_sales_helper!$C:$C)</f>
        <v>5011.1525396825391</v>
      </c>
    </row>
    <row r="27" spans="33:37" ht="25" customHeight="1" x14ac:dyDescent="0.15">
      <c r="AG27" s="33" t="s">
        <v>6</v>
      </c>
      <c r="AH27" s="47">
        <f>AVERAGEIF(daily_sales_helper!$B:$B,AG27,daily_sales_helper!$C:$C)</f>
        <v>11653.011904761905</v>
      </c>
    </row>
    <row r="28" spans="33:37" ht="25" customHeight="1" x14ac:dyDescent="0.15">
      <c r="AG28" s="33" t="s">
        <v>7</v>
      </c>
      <c r="AH28" s="47">
        <f>AVERAGEIF(daily_sales_helper!$B:$B,AG28,daily_sales_helper!$C:$C)</f>
        <v>12684.044126984127</v>
      </c>
    </row>
    <row r="29" spans="33:37" ht="25" customHeight="1" x14ac:dyDescent="0.15">
      <c r="AG29" s="33" t="s">
        <v>8</v>
      </c>
      <c r="AH29" s="47">
        <f>AVERAGEIF(daily_sales_helper!$B:$B,AG29,daily_sales_helper!$C:$C)</f>
        <v>5954.7495238095235</v>
      </c>
    </row>
    <row r="30" spans="33:37" ht="25" customHeight="1" x14ac:dyDescent="0.15"/>
    <row r="31" spans="33:37" ht="25" customHeight="1" x14ac:dyDescent="0.15"/>
    <row r="32" spans="33:37" ht="25" customHeight="1" x14ac:dyDescent="0.15"/>
    <row r="33" ht="25" customHeight="1" x14ac:dyDescent="0.15"/>
    <row r="34" ht="25" customHeight="1" x14ac:dyDescent="0.15"/>
    <row r="35" ht="25" customHeight="1" x14ac:dyDescent="0.15"/>
    <row r="36" ht="25" customHeight="1" x14ac:dyDescent="0.15"/>
    <row r="37" ht="25" customHeight="1" x14ac:dyDescent="0.15"/>
    <row r="38" ht="25" customHeight="1" x14ac:dyDescent="0.15"/>
    <row r="39" ht="25" customHeight="1" x14ac:dyDescent="0.15"/>
    <row r="40" ht="25" customHeight="1" x14ac:dyDescent="0.15"/>
    <row r="41" ht="25" customHeight="1" x14ac:dyDescent="0.15"/>
    <row r="42" ht="25" customHeight="1" x14ac:dyDescent="0.15"/>
    <row r="43" ht="25" customHeight="1" x14ac:dyDescent="0.15"/>
    <row r="44" ht="25" customHeight="1" x14ac:dyDescent="0.15"/>
    <row r="45" ht="25" customHeight="1" x14ac:dyDescent="0.15"/>
    <row r="46" ht="25" customHeight="1" x14ac:dyDescent="0.15"/>
    <row r="47" ht="25" customHeight="1" x14ac:dyDescent="0.15"/>
    <row r="48" ht="25" customHeight="1" x14ac:dyDescent="0.15"/>
    <row r="49" ht="25" customHeight="1" x14ac:dyDescent="0.15"/>
    <row r="50" ht="25" customHeight="1" x14ac:dyDescent="0.15"/>
    <row r="51" ht="25" customHeight="1" x14ac:dyDescent="0.15"/>
    <row r="52" ht="25" customHeight="1" x14ac:dyDescent="0.15"/>
    <row r="53" ht="25" customHeight="1" x14ac:dyDescent="0.15"/>
    <row r="54" ht="25" customHeight="1" x14ac:dyDescent="0.15"/>
    <row r="55" ht="25" customHeight="1" x14ac:dyDescent="0.15"/>
    <row r="56" ht="25" customHeight="1" x14ac:dyDescent="0.15"/>
    <row r="57" ht="25" customHeight="1" x14ac:dyDescent="0.15"/>
    <row r="58" ht="25" customHeight="1" x14ac:dyDescent="0.15"/>
    <row r="59" ht="25" customHeight="1" x14ac:dyDescent="0.15"/>
  </sheetData>
  <mergeCells count="14">
    <mergeCell ref="R6:T8"/>
    <mergeCell ref="J6:L6"/>
    <mergeCell ref="J7:L8"/>
    <mergeCell ref="N6:P6"/>
    <mergeCell ref="N7:P8"/>
    <mergeCell ref="B1:AD1"/>
    <mergeCell ref="B3:E3"/>
    <mergeCell ref="B5:D5"/>
    <mergeCell ref="B6:D8"/>
    <mergeCell ref="F5:H5"/>
    <mergeCell ref="F6:H8"/>
    <mergeCell ref="J5:L5"/>
    <mergeCell ref="N5:P5"/>
    <mergeCell ref="R5:T5"/>
  </mergeCells>
  <phoneticPr fontId="27"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66D62-3299-2848-A16A-A245CA1D94ED}">
  <dimension ref="B1:E17"/>
  <sheetViews>
    <sheetView showGridLines="0" showRowColHeaders="0" tabSelected="1" workbookViewId="0">
      <selection activeCell="C32" sqref="C32"/>
    </sheetView>
  </sheetViews>
  <sheetFormatPr baseColWidth="10" defaultRowHeight="13" x14ac:dyDescent="0.15"/>
  <cols>
    <col min="1" max="1" width="5.1640625" customWidth="1"/>
    <col min="2" max="2" width="7.5" customWidth="1"/>
    <col min="3" max="3" width="139.5" customWidth="1"/>
  </cols>
  <sheetData>
    <row r="1" spans="2:5" ht="58" customHeight="1" x14ac:dyDescent="0.15">
      <c r="B1" s="92" t="s">
        <v>131</v>
      </c>
      <c r="C1" s="92"/>
    </row>
    <row r="2" spans="2:5" s="90" customFormat="1" ht="30" customHeight="1" x14ac:dyDescent="0.2">
      <c r="B2" s="94" t="s">
        <v>126</v>
      </c>
      <c r="C2" s="94"/>
    </row>
    <row r="3" spans="2:5" s="90" customFormat="1" ht="25" customHeight="1" x14ac:dyDescent="0.2">
      <c r="B3" s="93"/>
      <c r="C3" s="93"/>
    </row>
    <row r="4" spans="2:5" s="90" customFormat="1" ht="25" customHeight="1" x14ac:dyDescent="0.2">
      <c r="B4" s="93"/>
      <c r="C4" s="93"/>
    </row>
    <row r="5" spans="2:5" s="90" customFormat="1" ht="25" customHeight="1" thickBot="1" x14ac:dyDescent="0.25">
      <c r="B5" s="88" t="s">
        <v>121</v>
      </c>
      <c r="C5" s="88"/>
      <c r="D5"/>
      <c r="E5"/>
    </row>
    <row r="6" spans="2:5" ht="25" customHeight="1" thickTop="1" x14ac:dyDescent="0.15"/>
    <row r="7" spans="2:5" s="90" customFormat="1" ht="30" customHeight="1" x14ac:dyDescent="0.2">
      <c r="B7" s="90">
        <v>1</v>
      </c>
      <c r="C7" s="90" t="s">
        <v>122</v>
      </c>
    </row>
    <row r="8" spans="2:5" s="90" customFormat="1" ht="30" customHeight="1" x14ac:dyDescent="0.2">
      <c r="B8" s="90">
        <v>2</v>
      </c>
      <c r="C8" s="90" t="s">
        <v>123</v>
      </c>
    </row>
    <row r="9" spans="2:5" s="90" customFormat="1" ht="30" customHeight="1" x14ac:dyDescent="0.2">
      <c r="B9" s="90">
        <v>3</v>
      </c>
      <c r="C9" s="90" t="s">
        <v>124</v>
      </c>
    </row>
    <row r="10" spans="2:5" s="90" customFormat="1" ht="50" customHeight="1" x14ac:dyDescent="0.2">
      <c r="B10" s="90">
        <v>4</v>
      </c>
      <c r="C10" s="91" t="s">
        <v>125</v>
      </c>
    </row>
    <row r="11" spans="2:5" s="90" customFormat="1" ht="30" customHeight="1" x14ac:dyDescent="0.2">
      <c r="C11" s="91"/>
    </row>
    <row r="12" spans="2:5" ht="25" customHeight="1" x14ac:dyDescent="0.15"/>
    <row r="13" spans="2:5" ht="25" customHeight="1" thickBot="1" x14ac:dyDescent="0.2">
      <c r="B13" s="88" t="s">
        <v>132</v>
      </c>
      <c r="C13" s="88"/>
    </row>
    <row r="14" spans="2:5" ht="30" customHeight="1" thickTop="1" x14ac:dyDescent="0.2">
      <c r="B14" s="90">
        <v>1</v>
      </c>
      <c r="C14" s="90" t="s">
        <v>127</v>
      </c>
    </row>
    <row r="15" spans="2:5" ht="30" customHeight="1" x14ac:dyDescent="0.2">
      <c r="B15" s="90">
        <v>2</v>
      </c>
      <c r="C15" s="90" t="s">
        <v>128</v>
      </c>
    </row>
    <row r="16" spans="2:5" ht="30" customHeight="1" x14ac:dyDescent="0.2">
      <c r="B16" s="90">
        <v>3</v>
      </c>
      <c r="C16" s="90" t="s">
        <v>129</v>
      </c>
    </row>
    <row r="17" spans="2:3" ht="30" customHeight="1" x14ac:dyDescent="0.2">
      <c r="B17" s="90">
        <v>4</v>
      </c>
      <c r="C17" s="90" t="s">
        <v>130</v>
      </c>
    </row>
  </sheetData>
  <mergeCells count="4">
    <mergeCell ref="B5:C5"/>
    <mergeCell ref="B13:C13"/>
    <mergeCell ref="B1:C1"/>
    <mergeCell ref="B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1"/>
  <sheetViews>
    <sheetView workbookViewId="0">
      <pane xSplit="2" topLeftCell="C1" activePane="topRight" state="frozen"/>
      <selection pane="topRight" activeCell="D2" sqref="D2"/>
    </sheetView>
  </sheetViews>
  <sheetFormatPr baseColWidth="10" defaultColWidth="12.6640625" defaultRowHeight="15.75" customHeight="1" x14ac:dyDescent="0.15"/>
  <cols>
    <col min="1" max="1" width="15" customWidth="1"/>
    <col min="2" max="2" width="31" customWidth="1"/>
  </cols>
  <sheetData>
    <row r="1" spans="1:27" ht="15.75" customHeight="1" x14ac:dyDescent="0.15">
      <c r="B1" s="24"/>
      <c r="C1" s="25"/>
      <c r="D1" s="25"/>
      <c r="E1" s="25"/>
      <c r="F1" s="31">
        <v>45819</v>
      </c>
      <c r="G1" s="32"/>
      <c r="H1" s="31">
        <f>F1+7</f>
        <v>45826</v>
      </c>
      <c r="I1" s="32"/>
      <c r="J1" s="31">
        <f>H1+7</f>
        <v>45833</v>
      </c>
      <c r="K1" s="32"/>
      <c r="L1" s="31">
        <f>J1+7</f>
        <v>45840</v>
      </c>
      <c r="M1" s="32"/>
      <c r="N1" s="31">
        <f>L1+7</f>
        <v>45847</v>
      </c>
      <c r="O1" s="32"/>
      <c r="P1" s="26"/>
      <c r="Q1" s="26"/>
      <c r="R1" s="26"/>
      <c r="S1" s="26"/>
      <c r="T1" s="26"/>
      <c r="U1" s="26"/>
      <c r="V1" s="26"/>
      <c r="W1" s="26"/>
      <c r="X1" s="26"/>
      <c r="Y1" s="26"/>
      <c r="Z1" s="26"/>
      <c r="AA1" s="26"/>
    </row>
    <row r="2" spans="1:27" ht="15.75" customHeight="1" x14ac:dyDescent="0.15">
      <c r="B2" s="24" t="s">
        <v>78</v>
      </c>
      <c r="C2" s="25">
        <v>45798</v>
      </c>
      <c r="D2" s="25">
        <v>45805</v>
      </c>
      <c r="E2" s="25">
        <v>45812</v>
      </c>
      <c r="F2" s="1" t="s">
        <v>79</v>
      </c>
      <c r="G2" s="1" t="s">
        <v>80</v>
      </c>
      <c r="H2" s="1" t="s">
        <v>79</v>
      </c>
      <c r="I2" s="1" t="s">
        <v>80</v>
      </c>
      <c r="J2" s="1" t="s">
        <v>79</v>
      </c>
      <c r="K2" s="1" t="s">
        <v>80</v>
      </c>
      <c r="L2" s="1" t="s">
        <v>79</v>
      </c>
      <c r="M2" s="1" t="s">
        <v>80</v>
      </c>
      <c r="N2" s="1" t="s">
        <v>79</v>
      </c>
      <c r="O2" s="1" t="s">
        <v>80</v>
      </c>
      <c r="P2" s="26"/>
      <c r="Q2" s="26"/>
      <c r="R2" s="26"/>
      <c r="S2" s="26"/>
      <c r="T2" s="26"/>
      <c r="U2" s="26"/>
      <c r="V2" s="26"/>
      <c r="W2" s="26"/>
      <c r="X2" s="26"/>
      <c r="Y2" s="26"/>
      <c r="Z2" s="26"/>
      <c r="AA2" s="26"/>
    </row>
    <row r="3" spans="1:27" ht="48" x14ac:dyDescent="0.15">
      <c r="A3" s="15" t="s">
        <v>81</v>
      </c>
      <c r="B3" s="27" t="s">
        <v>82</v>
      </c>
      <c r="C3" s="15">
        <v>2</v>
      </c>
      <c r="D3" s="15">
        <v>7</v>
      </c>
      <c r="E3" s="15">
        <v>7.5</v>
      </c>
      <c r="F3" s="15">
        <v>7.5</v>
      </c>
      <c r="G3" s="15">
        <v>6.5</v>
      </c>
      <c r="H3" s="15">
        <v>8</v>
      </c>
      <c r="I3" s="15">
        <v>8</v>
      </c>
    </row>
    <row r="4" spans="1:27" ht="36" x14ac:dyDescent="0.15">
      <c r="A4" s="15" t="s">
        <v>83</v>
      </c>
      <c r="B4" s="27" t="s">
        <v>84</v>
      </c>
      <c r="C4" s="15">
        <v>6</v>
      </c>
      <c r="D4" s="15">
        <v>6</v>
      </c>
      <c r="E4" s="15">
        <v>2</v>
      </c>
      <c r="F4" s="15">
        <v>8</v>
      </c>
      <c r="G4" s="15">
        <v>7</v>
      </c>
      <c r="H4" s="15">
        <v>8</v>
      </c>
      <c r="I4" s="15">
        <v>8</v>
      </c>
    </row>
    <row r="5" spans="1:27" ht="36" x14ac:dyDescent="0.15">
      <c r="A5" s="15" t="s">
        <v>85</v>
      </c>
      <c r="B5" s="27" t="s">
        <v>86</v>
      </c>
      <c r="C5" s="15">
        <v>3</v>
      </c>
      <c r="D5" s="15">
        <v>6</v>
      </c>
      <c r="E5" s="15">
        <v>8</v>
      </c>
      <c r="F5" s="15">
        <v>7</v>
      </c>
      <c r="G5" s="15">
        <v>7</v>
      </c>
      <c r="H5" s="15">
        <v>5.5</v>
      </c>
      <c r="I5" s="15">
        <v>5.5</v>
      </c>
    </row>
    <row r="6" spans="1:27" ht="24" x14ac:dyDescent="0.15">
      <c r="A6" s="15" t="s">
        <v>87</v>
      </c>
      <c r="B6" s="27" t="s">
        <v>88</v>
      </c>
      <c r="C6" s="15">
        <v>1</v>
      </c>
      <c r="D6" s="15">
        <v>7</v>
      </c>
      <c r="E6" s="28">
        <f>AVERAGE(8,6,7,6)</f>
        <v>6.75</v>
      </c>
      <c r="F6" s="15">
        <v>6.5</v>
      </c>
      <c r="G6" s="15">
        <v>8</v>
      </c>
      <c r="H6" s="15">
        <v>4.5</v>
      </c>
      <c r="I6" s="15">
        <v>7</v>
      </c>
    </row>
    <row r="7" spans="1:27" ht="24" x14ac:dyDescent="0.15">
      <c r="A7" s="15" t="s">
        <v>89</v>
      </c>
      <c r="B7" s="27" t="s">
        <v>90</v>
      </c>
      <c r="C7" s="15">
        <v>7</v>
      </c>
      <c r="D7" s="15">
        <v>7</v>
      </c>
      <c r="E7" s="15">
        <f>AVERAGE(7,8)</f>
        <v>7.5</v>
      </c>
      <c r="F7" s="15">
        <v>4</v>
      </c>
      <c r="G7" s="15">
        <v>7.5</v>
      </c>
      <c r="H7" s="15">
        <v>7</v>
      </c>
      <c r="I7" s="15">
        <v>8</v>
      </c>
    </row>
    <row r="8" spans="1:27" ht="36" x14ac:dyDescent="0.15">
      <c r="A8" s="15" t="s">
        <v>91</v>
      </c>
      <c r="B8" s="27" t="s">
        <v>92</v>
      </c>
      <c r="C8" s="29">
        <v>2</v>
      </c>
      <c r="D8" s="29">
        <v>4</v>
      </c>
      <c r="E8" s="30">
        <f>AVERAGE(5,8,7)</f>
        <v>6.666666666666667</v>
      </c>
      <c r="F8" s="29">
        <v>7.5</v>
      </c>
      <c r="G8" s="29">
        <v>7</v>
      </c>
      <c r="H8" s="29">
        <v>7.5</v>
      </c>
      <c r="I8" s="29">
        <v>7</v>
      </c>
      <c r="J8" s="29"/>
      <c r="K8" s="29"/>
      <c r="L8" s="29"/>
      <c r="M8" s="29"/>
      <c r="N8" s="29"/>
      <c r="O8" s="29"/>
      <c r="P8" s="29"/>
      <c r="Q8" s="29"/>
      <c r="R8" s="29"/>
      <c r="S8" s="29"/>
      <c r="T8" s="29"/>
      <c r="U8" s="29"/>
      <c r="V8" s="29"/>
      <c r="W8" s="29"/>
      <c r="X8" s="29"/>
      <c r="Y8" s="29"/>
      <c r="Z8" s="29"/>
      <c r="AA8" s="29"/>
    </row>
    <row r="9" spans="1:27" ht="15.75" customHeight="1" x14ac:dyDescent="0.15">
      <c r="A9" s="3" t="s">
        <v>93</v>
      </c>
      <c r="B9" s="27"/>
      <c r="C9" s="28">
        <f t="shared" ref="C9:I9" si="0">AVERAGE(C3:C8)</f>
        <v>3.5</v>
      </c>
      <c r="D9" s="28">
        <f t="shared" si="0"/>
        <v>6.166666666666667</v>
      </c>
      <c r="E9" s="28">
        <f t="shared" si="0"/>
        <v>6.4027777777777777</v>
      </c>
      <c r="F9" s="28">
        <f t="shared" si="0"/>
        <v>6.75</v>
      </c>
      <c r="G9" s="28">
        <f t="shared" si="0"/>
        <v>7.166666666666667</v>
      </c>
      <c r="H9" s="28">
        <f t="shared" si="0"/>
        <v>6.75</v>
      </c>
      <c r="I9" s="28">
        <f t="shared" si="0"/>
        <v>7.25</v>
      </c>
    </row>
    <row r="10" spans="1:27" ht="13" x14ac:dyDescent="0.15">
      <c r="B10" s="27"/>
    </row>
    <row r="11" spans="1:27" ht="13" x14ac:dyDescent="0.15">
      <c r="B11" s="27"/>
    </row>
    <row r="12" spans="1:27" ht="13" x14ac:dyDescent="0.15">
      <c r="B12" s="27"/>
    </row>
    <row r="13" spans="1:27" ht="13" x14ac:dyDescent="0.15">
      <c r="B13" s="27"/>
    </row>
    <row r="14" spans="1:27" ht="13" x14ac:dyDescent="0.15">
      <c r="B14" s="27"/>
    </row>
    <row r="15" spans="1:27" ht="13" x14ac:dyDescent="0.15">
      <c r="B15" s="27"/>
    </row>
    <row r="16" spans="1:27" ht="13" x14ac:dyDescent="0.15">
      <c r="B16" s="11"/>
    </row>
    <row r="17" spans="2:2" ht="13" x14ac:dyDescent="0.15">
      <c r="B17" s="11"/>
    </row>
    <row r="18" spans="2:2" ht="13" x14ac:dyDescent="0.15">
      <c r="B18" s="11"/>
    </row>
    <row r="19" spans="2:2" ht="13" x14ac:dyDescent="0.15">
      <c r="B19" s="11"/>
    </row>
    <row r="20" spans="2:2" ht="13" x14ac:dyDescent="0.15">
      <c r="B20" s="11"/>
    </row>
    <row r="21" spans="2:2" ht="13" x14ac:dyDescent="0.15">
      <c r="B21" s="11"/>
    </row>
    <row r="22" spans="2:2" ht="13" x14ac:dyDescent="0.15">
      <c r="B22" s="11"/>
    </row>
    <row r="23" spans="2:2" ht="13" x14ac:dyDescent="0.15">
      <c r="B23" s="11"/>
    </row>
    <row r="24" spans="2:2" ht="13" x14ac:dyDescent="0.15">
      <c r="B24" s="11"/>
    </row>
    <row r="25" spans="2:2" ht="13" x14ac:dyDescent="0.15">
      <c r="B25" s="11"/>
    </row>
    <row r="26" spans="2:2" ht="13" x14ac:dyDescent="0.15">
      <c r="B26" s="11"/>
    </row>
    <row r="27" spans="2:2" ht="13" x14ac:dyDescent="0.15">
      <c r="B27" s="11"/>
    </row>
    <row r="28" spans="2:2" ht="13" x14ac:dyDescent="0.15">
      <c r="B28" s="11"/>
    </row>
    <row r="29" spans="2:2" ht="13" x14ac:dyDescent="0.15">
      <c r="B29" s="11"/>
    </row>
    <row r="30" spans="2:2" ht="13" x14ac:dyDescent="0.15">
      <c r="B30" s="11"/>
    </row>
    <row r="31" spans="2:2" ht="13" x14ac:dyDescent="0.15">
      <c r="B31" s="11"/>
    </row>
    <row r="32" spans="2:2" ht="13" x14ac:dyDescent="0.15">
      <c r="B32" s="11"/>
    </row>
    <row r="33" spans="2:2" ht="13" x14ac:dyDescent="0.15">
      <c r="B33" s="11"/>
    </row>
    <row r="34" spans="2:2" ht="13" x14ac:dyDescent="0.15">
      <c r="B34" s="11"/>
    </row>
    <row r="35" spans="2:2" ht="13" x14ac:dyDescent="0.15">
      <c r="B35" s="11"/>
    </row>
    <row r="36" spans="2:2" ht="13" x14ac:dyDescent="0.15">
      <c r="B36" s="11"/>
    </row>
    <row r="37" spans="2:2" ht="13" x14ac:dyDescent="0.15">
      <c r="B37" s="11"/>
    </row>
    <row r="38" spans="2:2" ht="13" x14ac:dyDescent="0.15">
      <c r="B38" s="11"/>
    </row>
    <row r="39" spans="2:2" ht="13" x14ac:dyDescent="0.15">
      <c r="B39" s="11"/>
    </row>
    <row r="40" spans="2:2" ht="13" x14ac:dyDescent="0.15">
      <c r="B40" s="11"/>
    </row>
    <row r="41" spans="2:2" ht="13" x14ac:dyDescent="0.15">
      <c r="B41" s="11"/>
    </row>
    <row r="42" spans="2:2" ht="13" x14ac:dyDescent="0.15">
      <c r="B42" s="11"/>
    </row>
    <row r="43" spans="2:2" ht="13" x14ac:dyDescent="0.15">
      <c r="B43" s="11"/>
    </row>
    <row r="44" spans="2:2" ht="13" x14ac:dyDescent="0.15">
      <c r="B44" s="11"/>
    </row>
    <row r="45" spans="2:2" ht="13" x14ac:dyDescent="0.15">
      <c r="B45" s="11"/>
    </row>
    <row r="46" spans="2:2" ht="13" x14ac:dyDescent="0.15">
      <c r="B46" s="11"/>
    </row>
    <row r="47" spans="2:2" ht="13" x14ac:dyDescent="0.15">
      <c r="B47" s="11"/>
    </row>
    <row r="48" spans="2:2" ht="13" x14ac:dyDescent="0.15">
      <c r="B48" s="11"/>
    </row>
    <row r="49" spans="2:2" ht="13" x14ac:dyDescent="0.15">
      <c r="B49" s="11"/>
    </row>
    <row r="50" spans="2:2" ht="13" x14ac:dyDescent="0.15">
      <c r="B50" s="11"/>
    </row>
    <row r="51" spans="2:2" ht="13" x14ac:dyDescent="0.15">
      <c r="B51" s="11"/>
    </row>
    <row r="52" spans="2:2" ht="13" x14ac:dyDescent="0.15">
      <c r="B52" s="11"/>
    </row>
    <row r="53" spans="2:2" ht="13" x14ac:dyDescent="0.15">
      <c r="B53" s="11"/>
    </row>
    <row r="54" spans="2:2" ht="13" x14ac:dyDescent="0.15">
      <c r="B54" s="11"/>
    </row>
    <row r="55" spans="2:2" ht="13" x14ac:dyDescent="0.15">
      <c r="B55" s="11"/>
    </row>
    <row r="56" spans="2:2" ht="13" x14ac:dyDescent="0.15">
      <c r="B56" s="11"/>
    </row>
    <row r="57" spans="2:2" ht="13" x14ac:dyDescent="0.15">
      <c r="B57" s="11"/>
    </row>
    <row r="58" spans="2:2" ht="13" x14ac:dyDescent="0.15">
      <c r="B58" s="11"/>
    </row>
    <row r="59" spans="2:2" ht="13" x14ac:dyDescent="0.15">
      <c r="B59" s="11"/>
    </row>
    <row r="60" spans="2:2" ht="13" x14ac:dyDescent="0.15">
      <c r="B60" s="11"/>
    </row>
    <row r="61" spans="2:2" ht="13" x14ac:dyDescent="0.15">
      <c r="B61" s="11"/>
    </row>
    <row r="62" spans="2:2" ht="13" x14ac:dyDescent="0.15">
      <c r="B62" s="11"/>
    </row>
    <row r="63" spans="2:2" ht="13" x14ac:dyDescent="0.15">
      <c r="B63" s="11"/>
    </row>
    <row r="64" spans="2:2" ht="13" x14ac:dyDescent="0.15">
      <c r="B64" s="11"/>
    </row>
    <row r="65" spans="2:2" ht="13" x14ac:dyDescent="0.15">
      <c r="B65" s="11"/>
    </row>
    <row r="66" spans="2:2" ht="13" x14ac:dyDescent="0.15">
      <c r="B66" s="11"/>
    </row>
    <row r="67" spans="2:2" ht="13" x14ac:dyDescent="0.15">
      <c r="B67" s="11"/>
    </row>
    <row r="68" spans="2:2" ht="13" x14ac:dyDescent="0.15">
      <c r="B68" s="11"/>
    </row>
    <row r="69" spans="2:2" ht="13" x14ac:dyDescent="0.15">
      <c r="B69" s="11"/>
    </row>
    <row r="70" spans="2:2" ht="13" x14ac:dyDescent="0.15">
      <c r="B70" s="11"/>
    </row>
    <row r="71" spans="2:2" ht="13" x14ac:dyDescent="0.15">
      <c r="B71" s="11"/>
    </row>
    <row r="72" spans="2:2" ht="13" x14ac:dyDescent="0.15">
      <c r="B72" s="11"/>
    </row>
    <row r="73" spans="2:2" ht="13" x14ac:dyDescent="0.15">
      <c r="B73" s="11"/>
    </row>
    <row r="74" spans="2:2" ht="13" x14ac:dyDescent="0.15">
      <c r="B74" s="11"/>
    </row>
    <row r="75" spans="2:2" ht="13" x14ac:dyDescent="0.15">
      <c r="B75" s="11"/>
    </row>
    <row r="76" spans="2:2" ht="13" x14ac:dyDescent="0.15">
      <c r="B76" s="11"/>
    </row>
    <row r="77" spans="2:2" ht="13" x14ac:dyDescent="0.15">
      <c r="B77" s="11"/>
    </row>
    <row r="78" spans="2:2" ht="13" x14ac:dyDescent="0.15">
      <c r="B78" s="11"/>
    </row>
    <row r="79" spans="2:2" ht="13" x14ac:dyDescent="0.15">
      <c r="B79" s="11"/>
    </row>
    <row r="80" spans="2:2" ht="13" x14ac:dyDescent="0.15">
      <c r="B80" s="11"/>
    </row>
    <row r="81" spans="2:2" ht="13" x14ac:dyDescent="0.15">
      <c r="B81" s="11"/>
    </row>
    <row r="82" spans="2:2" ht="13" x14ac:dyDescent="0.15">
      <c r="B82" s="11"/>
    </row>
    <row r="83" spans="2:2" ht="13" x14ac:dyDescent="0.15">
      <c r="B83" s="11"/>
    </row>
    <row r="84" spans="2:2" ht="13" x14ac:dyDescent="0.15">
      <c r="B84" s="11"/>
    </row>
    <row r="85" spans="2:2" ht="13" x14ac:dyDescent="0.15">
      <c r="B85" s="11"/>
    </row>
    <row r="86" spans="2:2" ht="13" x14ac:dyDescent="0.15">
      <c r="B86" s="11"/>
    </row>
    <row r="87" spans="2:2" ht="13" x14ac:dyDescent="0.15">
      <c r="B87" s="11"/>
    </row>
    <row r="88" spans="2:2" ht="13" x14ac:dyDescent="0.15">
      <c r="B88" s="11"/>
    </row>
    <row r="89" spans="2:2" ht="13" x14ac:dyDescent="0.15">
      <c r="B89" s="11"/>
    </row>
    <row r="90" spans="2:2" ht="13" x14ac:dyDescent="0.15">
      <c r="B90" s="11"/>
    </row>
    <row r="91" spans="2:2" ht="13" x14ac:dyDescent="0.15">
      <c r="B91" s="11"/>
    </row>
    <row r="92" spans="2:2" ht="13" x14ac:dyDescent="0.15">
      <c r="B92" s="11"/>
    </row>
    <row r="93" spans="2:2" ht="13" x14ac:dyDescent="0.15">
      <c r="B93" s="11"/>
    </row>
    <row r="94" spans="2:2" ht="13" x14ac:dyDescent="0.15">
      <c r="B94" s="11"/>
    </row>
    <row r="95" spans="2:2" ht="13" x14ac:dyDescent="0.15">
      <c r="B95" s="11"/>
    </row>
    <row r="96" spans="2:2" ht="13" x14ac:dyDescent="0.15">
      <c r="B96" s="11"/>
    </row>
    <row r="97" spans="2:2" ht="13" x14ac:dyDescent="0.15">
      <c r="B97" s="11"/>
    </row>
    <row r="98" spans="2:2" ht="13" x14ac:dyDescent="0.15">
      <c r="B98" s="11"/>
    </row>
    <row r="99" spans="2:2" ht="13" x14ac:dyDescent="0.15">
      <c r="B99" s="11"/>
    </row>
    <row r="100" spans="2:2" ht="13" x14ac:dyDescent="0.15">
      <c r="B100" s="11"/>
    </row>
    <row r="101" spans="2:2" ht="13" x14ac:dyDescent="0.15">
      <c r="B101" s="11"/>
    </row>
    <row r="102" spans="2:2" ht="13" x14ac:dyDescent="0.15">
      <c r="B102" s="11"/>
    </row>
    <row r="103" spans="2:2" ht="13" x14ac:dyDescent="0.15">
      <c r="B103" s="11"/>
    </row>
    <row r="104" spans="2:2" ht="13" x14ac:dyDescent="0.15">
      <c r="B104" s="11"/>
    </row>
    <row r="105" spans="2:2" ht="13" x14ac:dyDescent="0.15">
      <c r="B105" s="11"/>
    </row>
    <row r="106" spans="2:2" ht="13" x14ac:dyDescent="0.15">
      <c r="B106" s="11"/>
    </row>
    <row r="107" spans="2:2" ht="13" x14ac:dyDescent="0.15">
      <c r="B107" s="11"/>
    </row>
    <row r="108" spans="2:2" ht="13" x14ac:dyDescent="0.15">
      <c r="B108" s="11"/>
    </row>
    <row r="109" spans="2:2" ht="13" x14ac:dyDescent="0.15">
      <c r="B109" s="11"/>
    </row>
    <row r="110" spans="2:2" ht="13" x14ac:dyDescent="0.15">
      <c r="B110" s="11"/>
    </row>
    <row r="111" spans="2:2" ht="13" x14ac:dyDescent="0.15">
      <c r="B111" s="11"/>
    </row>
    <row r="112" spans="2:2" ht="13" x14ac:dyDescent="0.15">
      <c r="B112" s="11"/>
    </row>
    <row r="113" spans="2:2" ht="13" x14ac:dyDescent="0.15">
      <c r="B113" s="11"/>
    </row>
    <row r="114" spans="2:2" ht="13" x14ac:dyDescent="0.15">
      <c r="B114" s="11"/>
    </row>
    <row r="115" spans="2:2" ht="13" x14ac:dyDescent="0.15">
      <c r="B115" s="11"/>
    </row>
    <row r="116" spans="2:2" ht="13" x14ac:dyDescent="0.15">
      <c r="B116" s="11"/>
    </row>
    <row r="117" spans="2:2" ht="13" x14ac:dyDescent="0.15">
      <c r="B117" s="11"/>
    </row>
    <row r="118" spans="2:2" ht="13" x14ac:dyDescent="0.15">
      <c r="B118" s="11"/>
    </row>
    <row r="119" spans="2:2" ht="13" x14ac:dyDescent="0.15">
      <c r="B119" s="11"/>
    </row>
    <row r="120" spans="2:2" ht="13" x14ac:dyDescent="0.15">
      <c r="B120" s="11"/>
    </row>
    <row r="121" spans="2:2" ht="13" x14ac:dyDescent="0.15">
      <c r="B121" s="11"/>
    </row>
    <row r="122" spans="2:2" ht="13" x14ac:dyDescent="0.15">
      <c r="B122" s="11"/>
    </row>
    <row r="123" spans="2:2" ht="13" x14ac:dyDescent="0.15">
      <c r="B123" s="11"/>
    </row>
    <row r="124" spans="2:2" ht="13" x14ac:dyDescent="0.15">
      <c r="B124" s="11"/>
    </row>
    <row r="125" spans="2:2" ht="13" x14ac:dyDescent="0.15">
      <c r="B125" s="11"/>
    </row>
    <row r="126" spans="2:2" ht="13" x14ac:dyDescent="0.15">
      <c r="B126" s="11"/>
    </row>
    <row r="127" spans="2:2" ht="13" x14ac:dyDescent="0.15">
      <c r="B127" s="11"/>
    </row>
    <row r="128" spans="2:2" ht="13" x14ac:dyDescent="0.15">
      <c r="B128" s="11"/>
    </row>
    <row r="129" spans="2:2" ht="13" x14ac:dyDescent="0.15">
      <c r="B129" s="11"/>
    </row>
    <row r="130" spans="2:2" ht="13" x14ac:dyDescent="0.15">
      <c r="B130" s="11"/>
    </row>
    <row r="131" spans="2:2" ht="13" x14ac:dyDescent="0.15">
      <c r="B131" s="11"/>
    </row>
    <row r="132" spans="2:2" ht="13" x14ac:dyDescent="0.15">
      <c r="B132" s="11"/>
    </row>
    <row r="133" spans="2:2" ht="13" x14ac:dyDescent="0.15">
      <c r="B133" s="11"/>
    </row>
    <row r="134" spans="2:2" ht="13" x14ac:dyDescent="0.15">
      <c r="B134" s="11"/>
    </row>
    <row r="135" spans="2:2" ht="13" x14ac:dyDescent="0.15">
      <c r="B135" s="11"/>
    </row>
    <row r="136" spans="2:2" ht="13" x14ac:dyDescent="0.15">
      <c r="B136" s="11"/>
    </row>
    <row r="137" spans="2:2" ht="13" x14ac:dyDescent="0.15">
      <c r="B137" s="11"/>
    </row>
    <row r="138" spans="2:2" ht="13" x14ac:dyDescent="0.15">
      <c r="B138" s="11"/>
    </row>
    <row r="139" spans="2:2" ht="13" x14ac:dyDescent="0.15">
      <c r="B139" s="11"/>
    </row>
    <row r="140" spans="2:2" ht="13" x14ac:dyDescent="0.15">
      <c r="B140" s="11"/>
    </row>
    <row r="141" spans="2:2" ht="13" x14ac:dyDescent="0.15">
      <c r="B141" s="11"/>
    </row>
    <row r="142" spans="2:2" ht="13" x14ac:dyDescent="0.15">
      <c r="B142" s="11"/>
    </row>
    <row r="143" spans="2:2" ht="13" x14ac:dyDescent="0.15">
      <c r="B143" s="11"/>
    </row>
    <row r="144" spans="2:2" ht="13" x14ac:dyDescent="0.15">
      <c r="B144" s="11"/>
    </row>
    <row r="145" spans="2:2" ht="13" x14ac:dyDescent="0.15">
      <c r="B145" s="11"/>
    </row>
    <row r="146" spans="2:2" ht="13" x14ac:dyDescent="0.15">
      <c r="B146" s="11"/>
    </row>
    <row r="147" spans="2:2" ht="13" x14ac:dyDescent="0.15">
      <c r="B147" s="11"/>
    </row>
    <row r="148" spans="2:2" ht="13" x14ac:dyDescent="0.15">
      <c r="B148" s="11"/>
    </row>
    <row r="149" spans="2:2" ht="13" x14ac:dyDescent="0.15">
      <c r="B149" s="11"/>
    </row>
    <row r="150" spans="2:2" ht="13" x14ac:dyDescent="0.15">
      <c r="B150" s="11"/>
    </row>
    <row r="151" spans="2:2" ht="13" x14ac:dyDescent="0.15">
      <c r="B151" s="11"/>
    </row>
    <row r="152" spans="2:2" ht="13" x14ac:dyDescent="0.15">
      <c r="B152" s="11"/>
    </row>
    <row r="153" spans="2:2" ht="13" x14ac:dyDescent="0.15">
      <c r="B153" s="11"/>
    </row>
    <row r="154" spans="2:2" ht="13" x14ac:dyDescent="0.15">
      <c r="B154" s="11"/>
    </row>
    <row r="155" spans="2:2" ht="13" x14ac:dyDescent="0.15">
      <c r="B155" s="11"/>
    </row>
    <row r="156" spans="2:2" ht="13" x14ac:dyDescent="0.15">
      <c r="B156" s="11"/>
    </row>
    <row r="157" spans="2:2" ht="13" x14ac:dyDescent="0.15">
      <c r="B157" s="11"/>
    </row>
    <row r="158" spans="2:2" ht="13" x14ac:dyDescent="0.15">
      <c r="B158" s="11"/>
    </row>
    <row r="159" spans="2:2" ht="13" x14ac:dyDescent="0.15">
      <c r="B159" s="11"/>
    </row>
    <row r="160" spans="2:2" ht="13" x14ac:dyDescent="0.15">
      <c r="B160" s="11"/>
    </row>
    <row r="161" spans="2:2" ht="13" x14ac:dyDescent="0.15">
      <c r="B161" s="11"/>
    </row>
    <row r="162" spans="2:2" ht="13" x14ac:dyDescent="0.15">
      <c r="B162" s="11"/>
    </row>
    <row r="163" spans="2:2" ht="13" x14ac:dyDescent="0.15">
      <c r="B163" s="11"/>
    </row>
    <row r="164" spans="2:2" ht="13" x14ac:dyDescent="0.15">
      <c r="B164" s="11"/>
    </row>
    <row r="165" spans="2:2" ht="13" x14ac:dyDescent="0.15">
      <c r="B165" s="11"/>
    </row>
    <row r="166" spans="2:2" ht="13" x14ac:dyDescent="0.15">
      <c r="B166" s="11"/>
    </row>
    <row r="167" spans="2:2" ht="13" x14ac:dyDescent="0.15">
      <c r="B167" s="11"/>
    </row>
    <row r="168" spans="2:2" ht="13" x14ac:dyDescent="0.15">
      <c r="B168" s="11"/>
    </row>
    <row r="169" spans="2:2" ht="13" x14ac:dyDescent="0.15">
      <c r="B169" s="11"/>
    </row>
    <row r="170" spans="2:2" ht="13" x14ac:dyDescent="0.15">
      <c r="B170" s="11"/>
    </row>
    <row r="171" spans="2:2" ht="13" x14ac:dyDescent="0.15">
      <c r="B171" s="11"/>
    </row>
    <row r="172" spans="2:2" ht="13" x14ac:dyDescent="0.15">
      <c r="B172" s="11"/>
    </row>
    <row r="173" spans="2:2" ht="13" x14ac:dyDescent="0.15">
      <c r="B173" s="11"/>
    </row>
    <row r="174" spans="2:2" ht="13" x14ac:dyDescent="0.15">
      <c r="B174" s="11"/>
    </row>
    <row r="175" spans="2:2" ht="13" x14ac:dyDescent="0.15">
      <c r="B175" s="11"/>
    </row>
    <row r="176" spans="2:2" ht="13" x14ac:dyDescent="0.15">
      <c r="B176" s="11"/>
    </row>
    <row r="177" spans="2:2" ht="13" x14ac:dyDescent="0.15">
      <c r="B177" s="11"/>
    </row>
    <row r="178" spans="2:2" ht="13" x14ac:dyDescent="0.15">
      <c r="B178" s="11"/>
    </row>
    <row r="179" spans="2:2" ht="13" x14ac:dyDescent="0.15">
      <c r="B179" s="11"/>
    </row>
    <row r="180" spans="2:2" ht="13" x14ac:dyDescent="0.15">
      <c r="B180" s="11"/>
    </row>
    <row r="181" spans="2:2" ht="13" x14ac:dyDescent="0.15">
      <c r="B181" s="11"/>
    </row>
    <row r="182" spans="2:2" ht="13" x14ac:dyDescent="0.15">
      <c r="B182" s="11"/>
    </row>
    <row r="183" spans="2:2" ht="13" x14ac:dyDescent="0.15">
      <c r="B183" s="11"/>
    </row>
    <row r="184" spans="2:2" ht="13" x14ac:dyDescent="0.15">
      <c r="B184" s="11"/>
    </row>
    <row r="185" spans="2:2" ht="13" x14ac:dyDescent="0.15">
      <c r="B185" s="11"/>
    </row>
    <row r="186" spans="2:2" ht="13" x14ac:dyDescent="0.15">
      <c r="B186" s="11"/>
    </row>
    <row r="187" spans="2:2" ht="13" x14ac:dyDescent="0.15">
      <c r="B187" s="11"/>
    </row>
    <row r="188" spans="2:2" ht="13" x14ac:dyDescent="0.15">
      <c r="B188" s="11"/>
    </row>
    <row r="189" spans="2:2" ht="13" x14ac:dyDescent="0.15">
      <c r="B189" s="11"/>
    </row>
    <row r="190" spans="2:2" ht="13" x14ac:dyDescent="0.15">
      <c r="B190" s="11"/>
    </row>
    <row r="191" spans="2:2" ht="13" x14ac:dyDescent="0.15">
      <c r="B191" s="11"/>
    </row>
    <row r="192" spans="2:2" ht="13" x14ac:dyDescent="0.15">
      <c r="B192" s="11"/>
    </row>
    <row r="193" spans="2:2" ht="13" x14ac:dyDescent="0.15">
      <c r="B193" s="11"/>
    </row>
    <row r="194" spans="2:2" ht="13" x14ac:dyDescent="0.15">
      <c r="B194" s="11"/>
    </row>
    <row r="195" spans="2:2" ht="13" x14ac:dyDescent="0.15">
      <c r="B195" s="11"/>
    </row>
    <row r="196" spans="2:2" ht="13" x14ac:dyDescent="0.15">
      <c r="B196" s="11"/>
    </row>
    <row r="197" spans="2:2" ht="13" x14ac:dyDescent="0.15">
      <c r="B197" s="11"/>
    </row>
    <row r="198" spans="2:2" ht="13" x14ac:dyDescent="0.15">
      <c r="B198" s="11"/>
    </row>
    <row r="199" spans="2:2" ht="13" x14ac:dyDescent="0.15">
      <c r="B199" s="11"/>
    </row>
    <row r="200" spans="2:2" ht="13" x14ac:dyDescent="0.15">
      <c r="B200" s="11"/>
    </row>
    <row r="201" spans="2:2" ht="13" x14ac:dyDescent="0.15">
      <c r="B201" s="11"/>
    </row>
    <row r="202" spans="2:2" ht="13" x14ac:dyDescent="0.15">
      <c r="B202" s="11"/>
    </row>
    <row r="203" spans="2:2" ht="13" x14ac:dyDescent="0.15">
      <c r="B203" s="11"/>
    </row>
    <row r="204" spans="2:2" ht="13" x14ac:dyDescent="0.15">
      <c r="B204" s="11"/>
    </row>
    <row r="205" spans="2:2" ht="13" x14ac:dyDescent="0.15">
      <c r="B205" s="11"/>
    </row>
    <row r="206" spans="2:2" ht="13" x14ac:dyDescent="0.15">
      <c r="B206" s="11"/>
    </row>
    <row r="207" spans="2:2" ht="13" x14ac:dyDescent="0.15">
      <c r="B207" s="11"/>
    </row>
    <row r="208" spans="2:2" ht="13" x14ac:dyDescent="0.15">
      <c r="B208" s="11"/>
    </row>
    <row r="209" spans="2:2" ht="13" x14ac:dyDescent="0.15">
      <c r="B209" s="11"/>
    </row>
    <row r="210" spans="2:2" ht="13" x14ac:dyDescent="0.15">
      <c r="B210" s="11"/>
    </row>
    <row r="211" spans="2:2" ht="13" x14ac:dyDescent="0.15">
      <c r="B211" s="11"/>
    </row>
    <row r="212" spans="2:2" ht="13" x14ac:dyDescent="0.15">
      <c r="B212" s="11"/>
    </row>
    <row r="213" spans="2:2" ht="13" x14ac:dyDescent="0.15">
      <c r="B213" s="11"/>
    </row>
    <row r="214" spans="2:2" ht="13" x14ac:dyDescent="0.15">
      <c r="B214" s="11"/>
    </row>
    <row r="215" spans="2:2" ht="13" x14ac:dyDescent="0.15">
      <c r="B215" s="11"/>
    </row>
    <row r="216" spans="2:2" ht="13" x14ac:dyDescent="0.15">
      <c r="B216" s="11"/>
    </row>
    <row r="217" spans="2:2" ht="13" x14ac:dyDescent="0.15">
      <c r="B217" s="11"/>
    </row>
    <row r="218" spans="2:2" ht="13" x14ac:dyDescent="0.15">
      <c r="B218" s="11"/>
    </row>
    <row r="219" spans="2:2" ht="13" x14ac:dyDescent="0.15">
      <c r="B219" s="11"/>
    </row>
    <row r="220" spans="2:2" ht="13" x14ac:dyDescent="0.15">
      <c r="B220" s="11"/>
    </row>
    <row r="221" spans="2:2" ht="13" x14ac:dyDescent="0.15">
      <c r="B221" s="11"/>
    </row>
    <row r="222" spans="2:2" ht="13" x14ac:dyDescent="0.15">
      <c r="B222" s="11"/>
    </row>
    <row r="223" spans="2:2" ht="13" x14ac:dyDescent="0.15">
      <c r="B223" s="11"/>
    </row>
    <row r="224" spans="2:2" ht="13" x14ac:dyDescent="0.15">
      <c r="B224" s="11"/>
    </row>
    <row r="225" spans="2:2" ht="13" x14ac:dyDescent="0.15">
      <c r="B225" s="11"/>
    </row>
    <row r="226" spans="2:2" ht="13" x14ac:dyDescent="0.15">
      <c r="B226" s="11"/>
    </row>
    <row r="227" spans="2:2" ht="13" x14ac:dyDescent="0.15">
      <c r="B227" s="11"/>
    </row>
    <row r="228" spans="2:2" ht="13" x14ac:dyDescent="0.15">
      <c r="B228" s="11"/>
    </row>
    <row r="229" spans="2:2" ht="13" x14ac:dyDescent="0.15">
      <c r="B229" s="11"/>
    </row>
    <row r="230" spans="2:2" ht="13" x14ac:dyDescent="0.15">
      <c r="B230" s="11"/>
    </row>
    <row r="231" spans="2:2" ht="13" x14ac:dyDescent="0.15">
      <c r="B231" s="11"/>
    </row>
    <row r="232" spans="2:2" ht="13" x14ac:dyDescent="0.15">
      <c r="B232" s="11"/>
    </row>
    <row r="233" spans="2:2" ht="13" x14ac:dyDescent="0.15">
      <c r="B233" s="11"/>
    </row>
    <row r="234" spans="2:2" ht="13" x14ac:dyDescent="0.15">
      <c r="B234" s="11"/>
    </row>
    <row r="235" spans="2:2" ht="13" x14ac:dyDescent="0.15">
      <c r="B235" s="11"/>
    </row>
    <row r="236" spans="2:2" ht="13" x14ac:dyDescent="0.15">
      <c r="B236" s="11"/>
    </row>
    <row r="237" spans="2:2" ht="13" x14ac:dyDescent="0.15">
      <c r="B237" s="11"/>
    </row>
    <row r="238" spans="2:2" ht="13" x14ac:dyDescent="0.15">
      <c r="B238" s="11"/>
    </row>
    <row r="239" spans="2:2" ht="13" x14ac:dyDescent="0.15">
      <c r="B239" s="11"/>
    </row>
    <row r="240" spans="2:2" ht="13" x14ac:dyDescent="0.15">
      <c r="B240" s="11"/>
    </row>
    <row r="241" spans="2:2" ht="13" x14ac:dyDescent="0.15">
      <c r="B241" s="11"/>
    </row>
    <row r="242" spans="2:2" ht="13" x14ac:dyDescent="0.15">
      <c r="B242" s="11"/>
    </row>
    <row r="243" spans="2:2" ht="13" x14ac:dyDescent="0.15">
      <c r="B243" s="11"/>
    </row>
    <row r="244" spans="2:2" ht="13" x14ac:dyDescent="0.15">
      <c r="B244" s="11"/>
    </row>
    <row r="245" spans="2:2" ht="13" x14ac:dyDescent="0.15">
      <c r="B245" s="11"/>
    </row>
    <row r="246" spans="2:2" ht="13" x14ac:dyDescent="0.15">
      <c r="B246" s="11"/>
    </row>
    <row r="247" spans="2:2" ht="13" x14ac:dyDescent="0.15">
      <c r="B247" s="11"/>
    </row>
    <row r="248" spans="2:2" ht="13" x14ac:dyDescent="0.15">
      <c r="B248" s="11"/>
    </row>
    <row r="249" spans="2:2" ht="13" x14ac:dyDescent="0.15">
      <c r="B249" s="11"/>
    </row>
    <row r="250" spans="2:2" ht="13" x14ac:dyDescent="0.15">
      <c r="B250" s="11"/>
    </row>
    <row r="251" spans="2:2" ht="13" x14ac:dyDescent="0.15">
      <c r="B251" s="11"/>
    </row>
    <row r="252" spans="2:2" ht="13" x14ac:dyDescent="0.15">
      <c r="B252" s="11"/>
    </row>
    <row r="253" spans="2:2" ht="13" x14ac:dyDescent="0.15">
      <c r="B253" s="11"/>
    </row>
    <row r="254" spans="2:2" ht="13" x14ac:dyDescent="0.15">
      <c r="B254" s="11"/>
    </row>
    <row r="255" spans="2:2" ht="13" x14ac:dyDescent="0.15">
      <c r="B255" s="11"/>
    </row>
    <row r="256" spans="2:2" ht="13" x14ac:dyDescent="0.15">
      <c r="B256" s="11"/>
    </row>
    <row r="257" spans="2:2" ht="13" x14ac:dyDescent="0.15">
      <c r="B257" s="11"/>
    </row>
    <row r="258" spans="2:2" ht="13" x14ac:dyDescent="0.15">
      <c r="B258" s="11"/>
    </row>
    <row r="259" spans="2:2" ht="13" x14ac:dyDescent="0.15">
      <c r="B259" s="11"/>
    </row>
    <row r="260" spans="2:2" ht="13" x14ac:dyDescent="0.15">
      <c r="B260" s="11"/>
    </row>
    <row r="261" spans="2:2" ht="13" x14ac:dyDescent="0.15">
      <c r="B261" s="11"/>
    </row>
    <row r="262" spans="2:2" ht="13" x14ac:dyDescent="0.15">
      <c r="B262" s="11"/>
    </row>
    <row r="263" spans="2:2" ht="13" x14ac:dyDescent="0.15">
      <c r="B263" s="11"/>
    </row>
    <row r="264" spans="2:2" ht="13" x14ac:dyDescent="0.15">
      <c r="B264" s="11"/>
    </row>
    <row r="265" spans="2:2" ht="13" x14ac:dyDescent="0.15">
      <c r="B265" s="11"/>
    </row>
    <row r="266" spans="2:2" ht="13" x14ac:dyDescent="0.15">
      <c r="B266" s="11"/>
    </row>
    <row r="267" spans="2:2" ht="13" x14ac:dyDescent="0.15">
      <c r="B267" s="11"/>
    </row>
    <row r="268" spans="2:2" ht="13" x14ac:dyDescent="0.15">
      <c r="B268" s="11"/>
    </row>
    <row r="269" spans="2:2" ht="13" x14ac:dyDescent="0.15">
      <c r="B269" s="11"/>
    </row>
    <row r="270" spans="2:2" ht="13" x14ac:dyDescent="0.15">
      <c r="B270" s="11"/>
    </row>
    <row r="271" spans="2:2" ht="13" x14ac:dyDescent="0.15">
      <c r="B271" s="11"/>
    </row>
    <row r="272" spans="2:2" ht="13" x14ac:dyDescent="0.15">
      <c r="B272" s="11"/>
    </row>
    <row r="273" spans="2:2" ht="13" x14ac:dyDescent="0.15">
      <c r="B273" s="11"/>
    </row>
    <row r="274" spans="2:2" ht="13" x14ac:dyDescent="0.15">
      <c r="B274" s="11"/>
    </row>
    <row r="275" spans="2:2" ht="13" x14ac:dyDescent="0.15">
      <c r="B275" s="11"/>
    </row>
    <row r="276" spans="2:2" ht="13" x14ac:dyDescent="0.15">
      <c r="B276" s="11"/>
    </row>
    <row r="277" spans="2:2" ht="13" x14ac:dyDescent="0.15">
      <c r="B277" s="11"/>
    </row>
    <row r="278" spans="2:2" ht="13" x14ac:dyDescent="0.15">
      <c r="B278" s="11"/>
    </row>
    <row r="279" spans="2:2" ht="13" x14ac:dyDescent="0.15">
      <c r="B279" s="11"/>
    </row>
    <row r="280" spans="2:2" ht="13" x14ac:dyDescent="0.15">
      <c r="B280" s="11"/>
    </row>
    <row r="281" spans="2:2" ht="13" x14ac:dyDescent="0.15">
      <c r="B281" s="11"/>
    </row>
    <row r="282" spans="2:2" ht="13" x14ac:dyDescent="0.15">
      <c r="B282" s="11"/>
    </row>
    <row r="283" spans="2:2" ht="13" x14ac:dyDescent="0.15">
      <c r="B283" s="11"/>
    </row>
    <row r="284" spans="2:2" ht="13" x14ac:dyDescent="0.15">
      <c r="B284" s="11"/>
    </row>
    <row r="285" spans="2:2" ht="13" x14ac:dyDescent="0.15">
      <c r="B285" s="11"/>
    </row>
    <row r="286" spans="2:2" ht="13" x14ac:dyDescent="0.15">
      <c r="B286" s="11"/>
    </row>
    <row r="287" spans="2:2" ht="13" x14ac:dyDescent="0.15">
      <c r="B287" s="11"/>
    </row>
    <row r="288" spans="2:2" ht="13" x14ac:dyDescent="0.15">
      <c r="B288" s="11"/>
    </row>
    <row r="289" spans="2:2" ht="13" x14ac:dyDescent="0.15">
      <c r="B289" s="11"/>
    </row>
    <row r="290" spans="2:2" ht="13" x14ac:dyDescent="0.15">
      <c r="B290" s="11"/>
    </row>
    <row r="291" spans="2:2" ht="13" x14ac:dyDescent="0.15">
      <c r="B291" s="11"/>
    </row>
    <row r="292" spans="2:2" ht="13" x14ac:dyDescent="0.15">
      <c r="B292" s="11"/>
    </row>
    <row r="293" spans="2:2" ht="13" x14ac:dyDescent="0.15">
      <c r="B293" s="11"/>
    </row>
    <row r="294" spans="2:2" ht="13" x14ac:dyDescent="0.15">
      <c r="B294" s="11"/>
    </row>
    <row r="295" spans="2:2" ht="13" x14ac:dyDescent="0.15">
      <c r="B295" s="11"/>
    </row>
    <row r="296" spans="2:2" ht="13" x14ac:dyDescent="0.15">
      <c r="B296" s="11"/>
    </row>
    <row r="297" spans="2:2" ht="13" x14ac:dyDescent="0.15">
      <c r="B297" s="11"/>
    </row>
    <row r="298" spans="2:2" ht="13" x14ac:dyDescent="0.15">
      <c r="B298" s="11"/>
    </row>
    <row r="299" spans="2:2" ht="13" x14ac:dyDescent="0.15">
      <c r="B299" s="11"/>
    </row>
    <row r="300" spans="2:2" ht="13" x14ac:dyDescent="0.15">
      <c r="B300" s="11"/>
    </row>
    <row r="301" spans="2:2" ht="13" x14ac:dyDescent="0.15">
      <c r="B301" s="11"/>
    </row>
    <row r="302" spans="2:2" ht="13" x14ac:dyDescent="0.15">
      <c r="B302" s="11"/>
    </row>
    <row r="303" spans="2:2" ht="13" x14ac:dyDescent="0.15">
      <c r="B303" s="11"/>
    </row>
    <row r="304" spans="2:2" ht="13" x14ac:dyDescent="0.15">
      <c r="B304" s="11"/>
    </row>
    <row r="305" spans="2:2" ht="13" x14ac:dyDescent="0.15">
      <c r="B305" s="11"/>
    </row>
    <row r="306" spans="2:2" ht="13" x14ac:dyDescent="0.15">
      <c r="B306" s="11"/>
    </row>
    <row r="307" spans="2:2" ht="13" x14ac:dyDescent="0.15">
      <c r="B307" s="11"/>
    </row>
    <row r="308" spans="2:2" ht="13" x14ac:dyDescent="0.15">
      <c r="B308" s="11"/>
    </row>
    <row r="309" spans="2:2" ht="13" x14ac:dyDescent="0.15">
      <c r="B309" s="11"/>
    </row>
    <row r="310" spans="2:2" ht="13" x14ac:dyDescent="0.15">
      <c r="B310" s="11"/>
    </row>
    <row r="311" spans="2:2" ht="13" x14ac:dyDescent="0.15">
      <c r="B311" s="11"/>
    </row>
    <row r="312" spans="2:2" ht="13" x14ac:dyDescent="0.15">
      <c r="B312" s="11"/>
    </row>
    <row r="313" spans="2:2" ht="13" x14ac:dyDescent="0.15">
      <c r="B313" s="11"/>
    </row>
    <row r="314" spans="2:2" ht="13" x14ac:dyDescent="0.15">
      <c r="B314" s="11"/>
    </row>
    <row r="315" spans="2:2" ht="13" x14ac:dyDescent="0.15">
      <c r="B315" s="11"/>
    </row>
    <row r="316" spans="2:2" ht="13" x14ac:dyDescent="0.15">
      <c r="B316" s="11"/>
    </row>
    <row r="317" spans="2:2" ht="13" x14ac:dyDescent="0.15">
      <c r="B317" s="11"/>
    </row>
    <row r="318" spans="2:2" ht="13" x14ac:dyDescent="0.15">
      <c r="B318" s="11"/>
    </row>
    <row r="319" spans="2:2" ht="13" x14ac:dyDescent="0.15">
      <c r="B319" s="11"/>
    </row>
    <row r="320" spans="2:2" ht="13" x14ac:dyDescent="0.15">
      <c r="B320" s="11"/>
    </row>
    <row r="321" spans="2:2" ht="13" x14ac:dyDescent="0.15">
      <c r="B321" s="11"/>
    </row>
    <row r="322" spans="2:2" ht="13" x14ac:dyDescent="0.15">
      <c r="B322" s="11"/>
    </row>
    <row r="323" spans="2:2" ht="13" x14ac:dyDescent="0.15">
      <c r="B323" s="11"/>
    </row>
    <row r="324" spans="2:2" ht="13" x14ac:dyDescent="0.15">
      <c r="B324" s="11"/>
    </row>
    <row r="325" spans="2:2" ht="13" x14ac:dyDescent="0.15">
      <c r="B325" s="11"/>
    </row>
    <row r="326" spans="2:2" ht="13" x14ac:dyDescent="0.15">
      <c r="B326" s="11"/>
    </row>
    <row r="327" spans="2:2" ht="13" x14ac:dyDescent="0.15">
      <c r="B327" s="11"/>
    </row>
    <row r="328" spans="2:2" ht="13" x14ac:dyDescent="0.15">
      <c r="B328" s="11"/>
    </row>
    <row r="329" spans="2:2" ht="13" x14ac:dyDescent="0.15">
      <c r="B329" s="11"/>
    </row>
    <row r="330" spans="2:2" ht="13" x14ac:dyDescent="0.15">
      <c r="B330" s="11"/>
    </row>
    <row r="331" spans="2:2" ht="13" x14ac:dyDescent="0.15">
      <c r="B331" s="11"/>
    </row>
    <row r="332" spans="2:2" ht="13" x14ac:dyDescent="0.15">
      <c r="B332" s="11"/>
    </row>
    <row r="333" spans="2:2" ht="13" x14ac:dyDescent="0.15">
      <c r="B333" s="11"/>
    </row>
    <row r="334" spans="2:2" ht="13" x14ac:dyDescent="0.15">
      <c r="B334" s="11"/>
    </row>
    <row r="335" spans="2:2" ht="13" x14ac:dyDescent="0.15">
      <c r="B335" s="11"/>
    </row>
    <row r="336" spans="2:2" ht="13" x14ac:dyDescent="0.15">
      <c r="B336" s="11"/>
    </row>
    <row r="337" spans="2:2" ht="13" x14ac:dyDescent="0.15">
      <c r="B337" s="11"/>
    </row>
    <row r="338" spans="2:2" ht="13" x14ac:dyDescent="0.15">
      <c r="B338" s="11"/>
    </row>
    <row r="339" spans="2:2" ht="13" x14ac:dyDescent="0.15">
      <c r="B339" s="11"/>
    </row>
    <row r="340" spans="2:2" ht="13" x14ac:dyDescent="0.15">
      <c r="B340" s="11"/>
    </row>
    <row r="341" spans="2:2" ht="13" x14ac:dyDescent="0.15">
      <c r="B341" s="11"/>
    </row>
    <row r="342" spans="2:2" ht="13" x14ac:dyDescent="0.15">
      <c r="B342" s="11"/>
    </row>
    <row r="343" spans="2:2" ht="13" x14ac:dyDescent="0.15">
      <c r="B343" s="11"/>
    </row>
    <row r="344" spans="2:2" ht="13" x14ac:dyDescent="0.15">
      <c r="B344" s="11"/>
    </row>
    <row r="345" spans="2:2" ht="13" x14ac:dyDescent="0.15">
      <c r="B345" s="11"/>
    </row>
    <row r="346" spans="2:2" ht="13" x14ac:dyDescent="0.15">
      <c r="B346" s="11"/>
    </row>
    <row r="347" spans="2:2" ht="13" x14ac:dyDescent="0.15">
      <c r="B347" s="11"/>
    </row>
    <row r="348" spans="2:2" ht="13" x14ac:dyDescent="0.15">
      <c r="B348" s="11"/>
    </row>
    <row r="349" spans="2:2" ht="13" x14ac:dyDescent="0.15">
      <c r="B349" s="11"/>
    </row>
    <row r="350" spans="2:2" ht="13" x14ac:dyDescent="0.15">
      <c r="B350" s="11"/>
    </row>
    <row r="351" spans="2:2" ht="13" x14ac:dyDescent="0.15">
      <c r="B351" s="11"/>
    </row>
    <row r="352" spans="2:2" ht="13" x14ac:dyDescent="0.15">
      <c r="B352" s="11"/>
    </row>
    <row r="353" spans="2:2" ht="13" x14ac:dyDescent="0.15">
      <c r="B353" s="11"/>
    </row>
    <row r="354" spans="2:2" ht="13" x14ac:dyDescent="0.15">
      <c r="B354" s="11"/>
    </row>
    <row r="355" spans="2:2" ht="13" x14ac:dyDescent="0.15">
      <c r="B355" s="11"/>
    </row>
    <row r="356" spans="2:2" ht="13" x14ac:dyDescent="0.15">
      <c r="B356" s="11"/>
    </row>
    <row r="357" spans="2:2" ht="13" x14ac:dyDescent="0.15">
      <c r="B357" s="11"/>
    </row>
    <row r="358" spans="2:2" ht="13" x14ac:dyDescent="0.15">
      <c r="B358" s="11"/>
    </row>
    <row r="359" spans="2:2" ht="13" x14ac:dyDescent="0.15">
      <c r="B359" s="11"/>
    </row>
    <row r="360" spans="2:2" ht="13" x14ac:dyDescent="0.15">
      <c r="B360" s="11"/>
    </row>
    <row r="361" spans="2:2" ht="13" x14ac:dyDescent="0.15">
      <c r="B361" s="11"/>
    </row>
    <row r="362" spans="2:2" ht="13" x14ac:dyDescent="0.15">
      <c r="B362" s="11"/>
    </row>
    <row r="363" spans="2:2" ht="13" x14ac:dyDescent="0.15">
      <c r="B363" s="11"/>
    </row>
    <row r="364" spans="2:2" ht="13" x14ac:dyDescent="0.15">
      <c r="B364" s="11"/>
    </row>
    <row r="365" spans="2:2" ht="13" x14ac:dyDescent="0.15">
      <c r="B365" s="11"/>
    </row>
    <row r="366" spans="2:2" ht="13" x14ac:dyDescent="0.15">
      <c r="B366" s="11"/>
    </row>
    <row r="367" spans="2:2" ht="13" x14ac:dyDescent="0.15">
      <c r="B367" s="11"/>
    </row>
    <row r="368" spans="2:2" ht="13" x14ac:dyDescent="0.15">
      <c r="B368" s="11"/>
    </row>
    <row r="369" spans="2:2" ht="13" x14ac:dyDescent="0.15">
      <c r="B369" s="11"/>
    </row>
    <row r="370" spans="2:2" ht="13" x14ac:dyDescent="0.15">
      <c r="B370" s="11"/>
    </row>
    <row r="371" spans="2:2" ht="13" x14ac:dyDescent="0.15">
      <c r="B371" s="11"/>
    </row>
    <row r="372" spans="2:2" ht="13" x14ac:dyDescent="0.15">
      <c r="B372" s="11"/>
    </row>
    <row r="373" spans="2:2" ht="13" x14ac:dyDescent="0.15">
      <c r="B373" s="11"/>
    </row>
    <row r="374" spans="2:2" ht="13" x14ac:dyDescent="0.15">
      <c r="B374" s="11"/>
    </row>
    <row r="375" spans="2:2" ht="13" x14ac:dyDescent="0.15">
      <c r="B375" s="11"/>
    </row>
    <row r="376" spans="2:2" ht="13" x14ac:dyDescent="0.15">
      <c r="B376" s="11"/>
    </row>
    <row r="377" spans="2:2" ht="13" x14ac:dyDescent="0.15">
      <c r="B377" s="11"/>
    </row>
    <row r="378" spans="2:2" ht="13" x14ac:dyDescent="0.15">
      <c r="B378" s="11"/>
    </row>
    <row r="379" spans="2:2" ht="13" x14ac:dyDescent="0.15">
      <c r="B379" s="11"/>
    </row>
    <row r="380" spans="2:2" ht="13" x14ac:dyDescent="0.15">
      <c r="B380" s="11"/>
    </row>
    <row r="381" spans="2:2" ht="13" x14ac:dyDescent="0.15">
      <c r="B381" s="11"/>
    </row>
    <row r="382" spans="2:2" ht="13" x14ac:dyDescent="0.15">
      <c r="B382" s="11"/>
    </row>
    <row r="383" spans="2:2" ht="13" x14ac:dyDescent="0.15">
      <c r="B383" s="11"/>
    </row>
    <row r="384" spans="2:2" ht="13" x14ac:dyDescent="0.15">
      <c r="B384" s="11"/>
    </row>
    <row r="385" spans="2:2" ht="13" x14ac:dyDescent="0.15">
      <c r="B385" s="11"/>
    </row>
    <row r="386" spans="2:2" ht="13" x14ac:dyDescent="0.15">
      <c r="B386" s="11"/>
    </row>
    <row r="387" spans="2:2" ht="13" x14ac:dyDescent="0.15">
      <c r="B387" s="11"/>
    </row>
    <row r="388" spans="2:2" ht="13" x14ac:dyDescent="0.15">
      <c r="B388" s="11"/>
    </row>
    <row r="389" spans="2:2" ht="13" x14ac:dyDescent="0.15">
      <c r="B389" s="11"/>
    </row>
    <row r="390" spans="2:2" ht="13" x14ac:dyDescent="0.15">
      <c r="B390" s="11"/>
    </row>
    <row r="391" spans="2:2" ht="13" x14ac:dyDescent="0.15">
      <c r="B391" s="11"/>
    </row>
    <row r="392" spans="2:2" ht="13" x14ac:dyDescent="0.15">
      <c r="B392" s="11"/>
    </row>
    <row r="393" spans="2:2" ht="13" x14ac:dyDescent="0.15">
      <c r="B393" s="11"/>
    </row>
    <row r="394" spans="2:2" ht="13" x14ac:dyDescent="0.15">
      <c r="B394" s="11"/>
    </row>
    <row r="395" spans="2:2" ht="13" x14ac:dyDescent="0.15">
      <c r="B395" s="11"/>
    </row>
    <row r="396" spans="2:2" ht="13" x14ac:dyDescent="0.15">
      <c r="B396" s="11"/>
    </row>
    <row r="397" spans="2:2" ht="13" x14ac:dyDescent="0.15">
      <c r="B397" s="11"/>
    </row>
    <row r="398" spans="2:2" ht="13" x14ac:dyDescent="0.15">
      <c r="B398" s="11"/>
    </row>
    <row r="399" spans="2:2" ht="13" x14ac:dyDescent="0.15">
      <c r="B399" s="11"/>
    </row>
    <row r="400" spans="2:2" ht="13" x14ac:dyDescent="0.15">
      <c r="B400" s="11"/>
    </row>
    <row r="401" spans="2:2" ht="13" x14ac:dyDescent="0.15">
      <c r="B401" s="11"/>
    </row>
    <row r="402" spans="2:2" ht="13" x14ac:dyDescent="0.15">
      <c r="B402" s="11"/>
    </row>
    <row r="403" spans="2:2" ht="13" x14ac:dyDescent="0.15">
      <c r="B403" s="11"/>
    </row>
    <row r="404" spans="2:2" ht="13" x14ac:dyDescent="0.15">
      <c r="B404" s="11"/>
    </row>
    <row r="405" spans="2:2" ht="13" x14ac:dyDescent="0.15">
      <c r="B405" s="11"/>
    </row>
    <row r="406" spans="2:2" ht="13" x14ac:dyDescent="0.15">
      <c r="B406" s="11"/>
    </row>
    <row r="407" spans="2:2" ht="13" x14ac:dyDescent="0.15">
      <c r="B407" s="11"/>
    </row>
    <row r="408" spans="2:2" ht="13" x14ac:dyDescent="0.15">
      <c r="B408" s="11"/>
    </row>
    <row r="409" spans="2:2" ht="13" x14ac:dyDescent="0.15">
      <c r="B409" s="11"/>
    </row>
    <row r="410" spans="2:2" ht="13" x14ac:dyDescent="0.15">
      <c r="B410" s="11"/>
    </row>
    <row r="411" spans="2:2" ht="13" x14ac:dyDescent="0.15">
      <c r="B411" s="11"/>
    </row>
    <row r="412" spans="2:2" ht="13" x14ac:dyDescent="0.15">
      <c r="B412" s="11"/>
    </row>
    <row r="413" spans="2:2" ht="13" x14ac:dyDescent="0.15">
      <c r="B413" s="11"/>
    </row>
    <row r="414" spans="2:2" ht="13" x14ac:dyDescent="0.15">
      <c r="B414" s="11"/>
    </row>
    <row r="415" spans="2:2" ht="13" x14ac:dyDescent="0.15">
      <c r="B415" s="11"/>
    </row>
    <row r="416" spans="2:2" ht="13" x14ac:dyDescent="0.15">
      <c r="B416" s="11"/>
    </row>
    <row r="417" spans="2:2" ht="13" x14ac:dyDescent="0.15">
      <c r="B417" s="11"/>
    </row>
    <row r="418" spans="2:2" ht="13" x14ac:dyDescent="0.15">
      <c r="B418" s="11"/>
    </row>
    <row r="419" spans="2:2" ht="13" x14ac:dyDescent="0.15">
      <c r="B419" s="11"/>
    </row>
    <row r="420" spans="2:2" ht="13" x14ac:dyDescent="0.15">
      <c r="B420" s="11"/>
    </row>
    <row r="421" spans="2:2" ht="13" x14ac:dyDescent="0.15">
      <c r="B421" s="11"/>
    </row>
    <row r="422" spans="2:2" ht="13" x14ac:dyDescent="0.15">
      <c r="B422" s="11"/>
    </row>
    <row r="423" spans="2:2" ht="13" x14ac:dyDescent="0.15">
      <c r="B423" s="11"/>
    </row>
    <row r="424" spans="2:2" ht="13" x14ac:dyDescent="0.15">
      <c r="B424" s="11"/>
    </row>
    <row r="425" spans="2:2" ht="13" x14ac:dyDescent="0.15">
      <c r="B425" s="11"/>
    </row>
    <row r="426" spans="2:2" ht="13" x14ac:dyDescent="0.15">
      <c r="B426" s="11"/>
    </row>
    <row r="427" spans="2:2" ht="13" x14ac:dyDescent="0.15">
      <c r="B427" s="11"/>
    </row>
    <row r="428" spans="2:2" ht="13" x14ac:dyDescent="0.15">
      <c r="B428" s="11"/>
    </row>
    <row r="429" spans="2:2" ht="13" x14ac:dyDescent="0.15">
      <c r="B429" s="11"/>
    </row>
    <row r="430" spans="2:2" ht="13" x14ac:dyDescent="0.15">
      <c r="B430" s="11"/>
    </row>
    <row r="431" spans="2:2" ht="13" x14ac:dyDescent="0.15">
      <c r="B431" s="11"/>
    </row>
    <row r="432" spans="2:2" ht="13" x14ac:dyDescent="0.15">
      <c r="B432" s="11"/>
    </row>
    <row r="433" spans="2:2" ht="13" x14ac:dyDescent="0.15">
      <c r="B433" s="11"/>
    </row>
    <row r="434" spans="2:2" ht="13" x14ac:dyDescent="0.15">
      <c r="B434" s="11"/>
    </row>
    <row r="435" spans="2:2" ht="13" x14ac:dyDescent="0.15">
      <c r="B435" s="11"/>
    </row>
    <row r="436" spans="2:2" ht="13" x14ac:dyDescent="0.15">
      <c r="B436" s="11"/>
    </row>
    <row r="437" spans="2:2" ht="13" x14ac:dyDescent="0.15">
      <c r="B437" s="11"/>
    </row>
    <row r="438" spans="2:2" ht="13" x14ac:dyDescent="0.15">
      <c r="B438" s="11"/>
    </row>
    <row r="439" spans="2:2" ht="13" x14ac:dyDescent="0.15">
      <c r="B439" s="11"/>
    </row>
    <row r="440" spans="2:2" ht="13" x14ac:dyDescent="0.15">
      <c r="B440" s="11"/>
    </row>
    <row r="441" spans="2:2" ht="13" x14ac:dyDescent="0.15">
      <c r="B441" s="11"/>
    </row>
    <row r="442" spans="2:2" ht="13" x14ac:dyDescent="0.15">
      <c r="B442" s="11"/>
    </row>
    <row r="443" spans="2:2" ht="13" x14ac:dyDescent="0.15">
      <c r="B443" s="11"/>
    </row>
    <row r="444" spans="2:2" ht="13" x14ac:dyDescent="0.15">
      <c r="B444" s="11"/>
    </row>
    <row r="445" spans="2:2" ht="13" x14ac:dyDescent="0.15">
      <c r="B445" s="11"/>
    </row>
    <row r="446" spans="2:2" ht="13" x14ac:dyDescent="0.15">
      <c r="B446" s="11"/>
    </row>
    <row r="447" spans="2:2" ht="13" x14ac:dyDescent="0.15">
      <c r="B447" s="11"/>
    </row>
    <row r="448" spans="2:2" ht="13" x14ac:dyDescent="0.15">
      <c r="B448" s="11"/>
    </row>
    <row r="449" spans="2:2" ht="13" x14ac:dyDescent="0.15">
      <c r="B449" s="11"/>
    </row>
    <row r="450" spans="2:2" ht="13" x14ac:dyDescent="0.15">
      <c r="B450" s="11"/>
    </row>
    <row r="451" spans="2:2" ht="13" x14ac:dyDescent="0.15">
      <c r="B451" s="11"/>
    </row>
    <row r="452" spans="2:2" ht="13" x14ac:dyDescent="0.15">
      <c r="B452" s="11"/>
    </row>
    <row r="453" spans="2:2" ht="13" x14ac:dyDescent="0.15">
      <c r="B453" s="11"/>
    </row>
    <row r="454" spans="2:2" ht="13" x14ac:dyDescent="0.15">
      <c r="B454" s="11"/>
    </row>
    <row r="455" spans="2:2" ht="13" x14ac:dyDescent="0.15">
      <c r="B455" s="11"/>
    </row>
    <row r="456" spans="2:2" ht="13" x14ac:dyDescent="0.15">
      <c r="B456" s="11"/>
    </row>
    <row r="457" spans="2:2" ht="13" x14ac:dyDescent="0.15">
      <c r="B457" s="11"/>
    </row>
    <row r="458" spans="2:2" ht="13" x14ac:dyDescent="0.15">
      <c r="B458" s="11"/>
    </row>
    <row r="459" spans="2:2" ht="13" x14ac:dyDescent="0.15">
      <c r="B459" s="11"/>
    </row>
    <row r="460" spans="2:2" ht="13" x14ac:dyDescent="0.15">
      <c r="B460" s="11"/>
    </row>
    <row r="461" spans="2:2" ht="13" x14ac:dyDescent="0.15">
      <c r="B461" s="11"/>
    </row>
    <row r="462" spans="2:2" ht="13" x14ac:dyDescent="0.15">
      <c r="B462" s="11"/>
    </row>
    <row r="463" spans="2:2" ht="13" x14ac:dyDescent="0.15">
      <c r="B463" s="11"/>
    </row>
    <row r="464" spans="2:2" ht="13" x14ac:dyDescent="0.15">
      <c r="B464" s="11"/>
    </row>
    <row r="465" spans="2:2" ht="13" x14ac:dyDescent="0.15">
      <c r="B465" s="11"/>
    </row>
    <row r="466" spans="2:2" ht="13" x14ac:dyDescent="0.15">
      <c r="B466" s="11"/>
    </row>
    <row r="467" spans="2:2" ht="13" x14ac:dyDescent="0.15">
      <c r="B467" s="11"/>
    </row>
    <row r="468" spans="2:2" ht="13" x14ac:dyDescent="0.15">
      <c r="B468" s="11"/>
    </row>
    <row r="469" spans="2:2" ht="13" x14ac:dyDescent="0.15">
      <c r="B469" s="11"/>
    </row>
    <row r="470" spans="2:2" ht="13" x14ac:dyDescent="0.15">
      <c r="B470" s="11"/>
    </row>
    <row r="471" spans="2:2" ht="13" x14ac:dyDescent="0.15">
      <c r="B471" s="11"/>
    </row>
    <row r="472" spans="2:2" ht="13" x14ac:dyDescent="0.15">
      <c r="B472" s="11"/>
    </row>
    <row r="473" spans="2:2" ht="13" x14ac:dyDescent="0.15">
      <c r="B473" s="11"/>
    </row>
    <row r="474" spans="2:2" ht="13" x14ac:dyDescent="0.15">
      <c r="B474" s="11"/>
    </row>
    <row r="475" spans="2:2" ht="13" x14ac:dyDescent="0.15">
      <c r="B475" s="11"/>
    </row>
    <row r="476" spans="2:2" ht="13" x14ac:dyDescent="0.15">
      <c r="B476" s="11"/>
    </row>
    <row r="477" spans="2:2" ht="13" x14ac:dyDescent="0.15">
      <c r="B477" s="11"/>
    </row>
    <row r="478" spans="2:2" ht="13" x14ac:dyDescent="0.15">
      <c r="B478" s="11"/>
    </row>
    <row r="479" spans="2:2" ht="13" x14ac:dyDescent="0.15">
      <c r="B479" s="11"/>
    </row>
    <row r="480" spans="2:2" ht="13" x14ac:dyDescent="0.15">
      <c r="B480" s="11"/>
    </row>
    <row r="481" spans="2:2" ht="13" x14ac:dyDescent="0.15">
      <c r="B481" s="11"/>
    </row>
    <row r="482" spans="2:2" ht="13" x14ac:dyDescent="0.15">
      <c r="B482" s="11"/>
    </row>
    <row r="483" spans="2:2" ht="13" x14ac:dyDescent="0.15">
      <c r="B483" s="11"/>
    </row>
    <row r="484" spans="2:2" ht="13" x14ac:dyDescent="0.15">
      <c r="B484" s="11"/>
    </row>
    <row r="485" spans="2:2" ht="13" x14ac:dyDescent="0.15">
      <c r="B485" s="11"/>
    </row>
    <row r="486" spans="2:2" ht="13" x14ac:dyDescent="0.15">
      <c r="B486" s="11"/>
    </row>
    <row r="487" spans="2:2" ht="13" x14ac:dyDescent="0.15">
      <c r="B487" s="11"/>
    </row>
    <row r="488" spans="2:2" ht="13" x14ac:dyDescent="0.15">
      <c r="B488" s="11"/>
    </row>
    <row r="489" spans="2:2" ht="13" x14ac:dyDescent="0.15">
      <c r="B489" s="11"/>
    </row>
    <row r="490" spans="2:2" ht="13" x14ac:dyDescent="0.15">
      <c r="B490" s="11"/>
    </row>
    <row r="491" spans="2:2" ht="13" x14ac:dyDescent="0.15">
      <c r="B491" s="11"/>
    </row>
    <row r="492" spans="2:2" ht="13" x14ac:dyDescent="0.15">
      <c r="B492" s="11"/>
    </row>
    <row r="493" spans="2:2" ht="13" x14ac:dyDescent="0.15">
      <c r="B493" s="11"/>
    </row>
    <row r="494" spans="2:2" ht="13" x14ac:dyDescent="0.15">
      <c r="B494" s="11"/>
    </row>
    <row r="495" spans="2:2" ht="13" x14ac:dyDescent="0.15">
      <c r="B495" s="11"/>
    </row>
    <row r="496" spans="2:2" ht="13" x14ac:dyDescent="0.15">
      <c r="B496" s="11"/>
    </row>
    <row r="497" spans="2:2" ht="13" x14ac:dyDescent="0.15">
      <c r="B497" s="11"/>
    </row>
    <row r="498" spans="2:2" ht="13" x14ac:dyDescent="0.15">
      <c r="B498" s="11"/>
    </row>
    <row r="499" spans="2:2" ht="13" x14ac:dyDescent="0.15">
      <c r="B499" s="11"/>
    </row>
    <row r="500" spans="2:2" ht="13" x14ac:dyDescent="0.15">
      <c r="B500" s="11"/>
    </row>
    <row r="501" spans="2:2" ht="13" x14ac:dyDescent="0.15">
      <c r="B501" s="11"/>
    </row>
    <row r="502" spans="2:2" ht="13" x14ac:dyDescent="0.15">
      <c r="B502" s="11"/>
    </row>
    <row r="503" spans="2:2" ht="13" x14ac:dyDescent="0.15">
      <c r="B503" s="11"/>
    </row>
    <row r="504" spans="2:2" ht="13" x14ac:dyDescent="0.15">
      <c r="B504" s="11"/>
    </row>
    <row r="505" spans="2:2" ht="13" x14ac:dyDescent="0.15">
      <c r="B505" s="11"/>
    </row>
    <row r="506" spans="2:2" ht="13" x14ac:dyDescent="0.15">
      <c r="B506" s="11"/>
    </row>
    <row r="507" spans="2:2" ht="13" x14ac:dyDescent="0.15">
      <c r="B507" s="11"/>
    </row>
    <row r="508" spans="2:2" ht="13" x14ac:dyDescent="0.15">
      <c r="B508" s="11"/>
    </row>
    <row r="509" spans="2:2" ht="13" x14ac:dyDescent="0.15">
      <c r="B509" s="11"/>
    </row>
    <row r="510" spans="2:2" ht="13" x14ac:dyDescent="0.15">
      <c r="B510" s="11"/>
    </row>
    <row r="511" spans="2:2" ht="13" x14ac:dyDescent="0.15">
      <c r="B511" s="11"/>
    </row>
    <row r="512" spans="2:2" ht="13" x14ac:dyDescent="0.15">
      <c r="B512" s="11"/>
    </row>
    <row r="513" spans="2:2" ht="13" x14ac:dyDescent="0.15">
      <c r="B513" s="11"/>
    </row>
    <row r="514" spans="2:2" ht="13" x14ac:dyDescent="0.15">
      <c r="B514" s="11"/>
    </row>
    <row r="515" spans="2:2" ht="13" x14ac:dyDescent="0.15">
      <c r="B515" s="11"/>
    </row>
    <row r="516" spans="2:2" ht="13" x14ac:dyDescent="0.15">
      <c r="B516" s="11"/>
    </row>
    <row r="517" spans="2:2" ht="13" x14ac:dyDescent="0.15">
      <c r="B517" s="11"/>
    </row>
    <row r="518" spans="2:2" ht="13" x14ac:dyDescent="0.15">
      <c r="B518" s="11"/>
    </row>
    <row r="519" spans="2:2" ht="13" x14ac:dyDescent="0.15">
      <c r="B519" s="11"/>
    </row>
    <row r="520" spans="2:2" ht="13" x14ac:dyDescent="0.15">
      <c r="B520" s="11"/>
    </row>
    <row r="521" spans="2:2" ht="13" x14ac:dyDescent="0.15">
      <c r="B521" s="11"/>
    </row>
    <row r="522" spans="2:2" ht="13" x14ac:dyDescent="0.15">
      <c r="B522" s="11"/>
    </row>
    <row r="523" spans="2:2" ht="13" x14ac:dyDescent="0.15">
      <c r="B523" s="11"/>
    </row>
    <row r="524" spans="2:2" ht="13" x14ac:dyDescent="0.15">
      <c r="B524" s="11"/>
    </row>
    <row r="525" spans="2:2" ht="13" x14ac:dyDescent="0.15">
      <c r="B525" s="11"/>
    </row>
    <row r="526" spans="2:2" ht="13" x14ac:dyDescent="0.15">
      <c r="B526" s="11"/>
    </row>
    <row r="527" spans="2:2" ht="13" x14ac:dyDescent="0.15">
      <c r="B527" s="11"/>
    </row>
    <row r="528" spans="2:2" ht="13" x14ac:dyDescent="0.15">
      <c r="B528" s="11"/>
    </row>
    <row r="529" spans="2:2" ht="13" x14ac:dyDescent="0.15">
      <c r="B529" s="11"/>
    </row>
    <row r="530" spans="2:2" ht="13" x14ac:dyDescent="0.15">
      <c r="B530" s="11"/>
    </row>
    <row r="531" spans="2:2" ht="13" x14ac:dyDescent="0.15">
      <c r="B531" s="11"/>
    </row>
    <row r="532" spans="2:2" ht="13" x14ac:dyDescent="0.15">
      <c r="B532" s="11"/>
    </row>
    <row r="533" spans="2:2" ht="13" x14ac:dyDescent="0.15">
      <c r="B533" s="11"/>
    </row>
    <row r="534" spans="2:2" ht="13" x14ac:dyDescent="0.15">
      <c r="B534" s="11"/>
    </row>
    <row r="535" spans="2:2" ht="13" x14ac:dyDescent="0.15">
      <c r="B535" s="11"/>
    </row>
    <row r="536" spans="2:2" ht="13" x14ac:dyDescent="0.15">
      <c r="B536" s="11"/>
    </row>
    <row r="537" spans="2:2" ht="13" x14ac:dyDescent="0.15">
      <c r="B537" s="11"/>
    </row>
    <row r="538" spans="2:2" ht="13" x14ac:dyDescent="0.15">
      <c r="B538" s="11"/>
    </row>
    <row r="539" spans="2:2" ht="13" x14ac:dyDescent="0.15">
      <c r="B539" s="11"/>
    </row>
    <row r="540" spans="2:2" ht="13" x14ac:dyDescent="0.15">
      <c r="B540" s="11"/>
    </row>
    <row r="541" spans="2:2" ht="13" x14ac:dyDescent="0.15">
      <c r="B541" s="11"/>
    </row>
    <row r="542" spans="2:2" ht="13" x14ac:dyDescent="0.15">
      <c r="B542" s="11"/>
    </row>
    <row r="543" spans="2:2" ht="13" x14ac:dyDescent="0.15">
      <c r="B543" s="11"/>
    </row>
    <row r="544" spans="2:2" ht="13" x14ac:dyDescent="0.15">
      <c r="B544" s="11"/>
    </row>
    <row r="545" spans="2:2" ht="13" x14ac:dyDescent="0.15">
      <c r="B545" s="11"/>
    </row>
    <row r="546" spans="2:2" ht="13" x14ac:dyDescent="0.15">
      <c r="B546" s="11"/>
    </row>
    <row r="547" spans="2:2" ht="13" x14ac:dyDescent="0.15">
      <c r="B547" s="11"/>
    </row>
    <row r="548" spans="2:2" ht="13" x14ac:dyDescent="0.15">
      <c r="B548" s="11"/>
    </row>
    <row r="549" spans="2:2" ht="13" x14ac:dyDescent="0.15">
      <c r="B549" s="11"/>
    </row>
    <row r="550" spans="2:2" ht="13" x14ac:dyDescent="0.15">
      <c r="B550" s="11"/>
    </row>
    <row r="551" spans="2:2" ht="13" x14ac:dyDescent="0.15">
      <c r="B551" s="11"/>
    </row>
    <row r="552" spans="2:2" ht="13" x14ac:dyDescent="0.15">
      <c r="B552" s="11"/>
    </row>
    <row r="553" spans="2:2" ht="13" x14ac:dyDescent="0.15">
      <c r="B553" s="11"/>
    </row>
    <row r="554" spans="2:2" ht="13" x14ac:dyDescent="0.15">
      <c r="B554" s="11"/>
    </row>
    <row r="555" spans="2:2" ht="13" x14ac:dyDescent="0.15">
      <c r="B555" s="11"/>
    </row>
    <row r="556" spans="2:2" ht="13" x14ac:dyDescent="0.15">
      <c r="B556" s="11"/>
    </row>
    <row r="557" spans="2:2" ht="13" x14ac:dyDescent="0.15">
      <c r="B557" s="11"/>
    </row>
    <row r="558" spans="2:2" ht="13" x14ac:dyDescent="0.15">
      <c r="B558" s="11"/>
    </row>
    <row r="559" spans="2:2" ht="13" x14ac:dyDescent="0.15">
      <c r="B559" s="11"/>
    </row>
    <row r="560" spans="2:2" ht="13" x14ac:dyDescent="0.15">
      <c r="B560" s="11"/>
    </row>
    <row r="561" spans="2:2" ht="13" x14ac:dyDescent="0.15">
      <c r="B561" s="11"/>
    </row>
    <row r="562" spans="2:2" ht="13" x14ac:dyDescent="0.15">
      <c r="B562" s="11"/>
    </row>
    <row r="563" spans="2:2" ht="13" x14ac:dyDescent="0.15">
      <c r="B563" s="11"/>
    </row>
    <row r="564" spans="2:2" ht="13" x14ac:dyDescent="0.15">
      <c r="B564" s="11"/>
    </row>
    <row r="565" spans="2:2" ht="13" x14ac:dyDescent="0.15">
      <c r="B565" s="11"/>
    </row>
    <row r="566" spans="2:2" ht="13" x14ac:dyDescent="0.15">
      <c r="B566" s="11"/>
    </row>
    <row r="567" spans="2:2" ht="13" x14ac:dyDescent="0.15">
      <c r="B567" s="11"/>
    </row>
    <row r="568" spans="2:2" ht="13" x14ac:dyDescent="0.15">
      <c r="B568" s="11"/>
    </row>
    <row r="569" spans="2:2" ht="13" x14ac:dyDescent="0.15">
      <c r="B569" s="11"/>
    </row>
    <row r="570" spans="2:2" ht="13" x14ac:dyDescent="0.15">
      <c r="B570" s="11"/>
    </row>
    <row r="571" spans="2:2" ht="13" x14ac:dyDescent="0.15">
      <c r="B571" s="11"/>
    </row>
    <row r="572" spans="2:2" ht="13" x14ac:dyDescent="0.15">
      <c r="B572" s="11"/>
    </row>
    <row r="573" spans="2:2" ht="13" x14ac:dyDescent="0.15">
      <c r="B573" s="11"/>
    </row>
    <row r="574" spans="2:2" ht="13" x14ac:dyDescent="0.15">
      <c r="B574" s="11"/>
    </row>
    <row r="575" spans="2:2" ht="13" x14ac:dyDescent="0.15">
      <c r="B575" s="11"/>
    </row>
    <row r="576" spans="2:2" ht="13" x14ac:dyDescent="0.15">
      <c r="B576" s="11"/>
    </row>
    <row r="577" spans="2:2" ht="13" x14ac:dyDescent="0.15">
      <c r="B577" s="11"/>
    </row>
    <row r="578" spans="2:2" ht="13" x14ac:dyDescent="0.15">
      <c r="B578" s="11"/>
    </row>
    <row r="579" spans="2:2" ht="13" x14ac:dyDescent="0.15">
      <c r="B579" s="11"/>
    </row>
    <row r="580" spans="2:2" ht="13" x14ac:dyDescent="0.15">
      <c r="B580" s="11"/>
    </row>
    <row r="581" spans="2:2" ht="13" x14ac:dyDescent="0.15">
      <c r="B581" s="11"/>
    </row>
    <row r="582" spans="2:2" ht="13" x14ac:dyDescent="0.15">
      <c r="B582" s="11"/>
    </row>
    <row r="583" spans="2:2" ht="13" x14ac:dyDescent="0.15">
      <c r="B583" s="11"/>
    </row>
    <row r="584" spans="2:2" ht="13" x14ac:dyDescent="0.15">
      <c r="B584" s="11"/>
    </row>
    <row r="585" spans="2:2" ht="13" x14ac:dyDescent="0.15">
      <c r="B585" s="11"/>
    </row>
    <row r="586" spans="2:2" ht="13" x14ac:dyDescent="0.15">
      <c r="B586" s="11"/>
    </row>
    <row r="587" spans="2:2" ht="13" x14ac:dyDescent="0.15">
      <c r="B587" s="11"/>
    </row>
    <row r="588" spans="2:2" ht="13" x14ac:dyDescent="0.15">
      <c r="B588" s="11"/>
    </row>
    <row r="589" spans="2:2" ht="13" x14ac:dyDescent="0.15">
      <c r="B589" s="11"/>
    </row>
    <row r="590" spans="2:2" ht="13" x14ac:dyDescent="0.15">
      <c r="B590" s="11"/>
    </row>
    <row r="591" spans="2:2" ht="13" x14ac:dyDescent="0.15">
      <c r="B591" s="11"/>
    </row>
    <row r="592" spans="2:2" ht="13" x14ac:dyDescent="0.15">
      <c r="B592" s="11"/>
    </row>
    <row r="593" spans="2:2" ht="13" x14ac:dyDescent="0.15">
      <c r="B593" s="11"/>
    </row>
    <row r="594" spans="2:2" ht="13" x14ac:dyDescent="0.15">
      <c r="B594" s="11"/>
    </row>
    <row r="595" spans="2:2" ht="13" x14ac:dyDescent="0.15">
      <c r="B595" s="11"/>
    </row>
    <row r="596" spans="2:2" ht="13" x14ac:dyDescent="0.15">
      <c r="B596" s="11"/>
    </row>
    <row r="597" spans="2:2" ht="13" x14ac:dyDescent="0.15">
      <c r="B597" s="11"/>
    </row>
    <row r="598" spans="2:2" ht="13" x14ac:dyDescent="0.15">
      <c r="B598" s="11"/>
    </row>
    <row r="599" spans="2:2" ht="13" x14ac:dyDescent="0.15">
      <c r="B599" s="11"/>
    </row>
    <row r="600" spans="2:2" ht="13" x14ac:dyDescent="0.15">
      <c r="B600" s="11"/>
    </row>
    <row r="601" spans="2:2" ht="13" x14ac:dyDescent="0.15">
      <c r="B601" s="11"/>
    </row>
    <row r="602" spans="2:2" ht="13" x14ac:dyDescent="0.15">
      <c r="B602" s="11"/>
    </row>
    <row r="603" spans="2:2" ht="13" x14ac:dyDescent="0.15">
      <c r="B603" s="11"/>
    </row>
    <row r="604" spans="2:2" ht="13" x14ac:dyDescent="0.15">
      <c r="B604" s="11"/>
    </row>
    <row r="605" spans="2:2" ht="13" x14ac:dyDescent="0.15">
      <c r="B605" s="11"/>
    </row>
    <row r="606" spans="2:2" ht="13" x14ac:dyDescent="0.15">
      <c r="B606" s="11"/>
    </row>
    <row r="607" spans="2:2" ht="13" x14ac:dyDescent="0.15">
      <c r="B607" s="11"/>
    </row>
    <row r="608" spans="2:2" ht="13" x14ac:dyDescent="0.15">
      <c r="B608" s="11"/>
    </row>
    <row r="609" spans="2:2" ht="13" x14ac:dyDescent="0.15">
      <c r="B609" s="11"/>
    </row>
    <row r="610" spans="2:2" ht="13" x14ac:dyDescent="0.15">
      <c r="B610" s="11"/>
    </row>
    <row r="611" spans="2:2" ht="13" x14ac:dyDescent="0.15">
      <c r="B611" s="11"/>
    </row>
    <row r="612" spans="2:2" ht="13" x14ac:dyDescent="0.15">
      <c r="B612" s="11"/>
    </row>
    <row r="613" spans="2:2" ht="13" x14ac:dyDescent="0.15">
      <c r="B613" s="11"/>
    </row>
    <row r="614" spans="2:2" ht="13" x14ac:dyDescent="0.15">
      <c r="B614" s="11"/>
    </row>
    <row r="615" spans="2:2" ht="13" x14ac:dyDescent="0.15">
      <c r="B615" s="11"/>
    </row>
    <row r="616" spans="2:2" ht="13" x14ac:dyDescent="0.15">
      <c r="B616" s="11"/>
    </row>
    <row r="617" spans="2:2" ht="13" x14ac:dyDescent="0.15">
      <c r="B617" s="11"/>
    </row>
    <row r="618" spans="2:2" ht="13" x14ac:dyDescent="0.15">
      <c r="B618" s="11"/>
    </row>
    <row r="619" spans="2:2" ht="13" x14ac:dyDescent="0.15">
      <c r="B619" s="11"/>
    </row>
    <row r="620" spans="2:2" ht="13" x14ac:dyDescent="0.15">
      <c r="B620" s="11"/>
    </row>
    <row r="621" spans="2:2" ht="13" x14ac:dyDescent="0.15">
      <c r="B621" s="11"/>
    </row>
    <row r="622" spans="2:2" ht="13" x14ac:dyDescent="0.15">
      <c r="B622" s="11"/>
    </row>
    <row r="623" spans="2:2" ht="13" x14ac:dyDescent="0.15">
      <c r="B623" s="11"/>
    </row>
    <row r="624" spans="2:2" ht="13" x14ac:dyDescent="0.15">
      <c r="B624" s="11"/>
    </row>
    <row r="625" spans="2:2" ht="13" x14ac:dyDescent="0.15">
      <c r="B625" s="11"/>
    </row>
    <row r="626" spans="2:2" ht="13" x14ac:dyDescent="0.15">
      <c r="B626" s="11"/>
    </row>
    <row r="627" spans="2:2" ht="13" x14ac:dyDescent="0.15">
      <c r="B627" s="11"/>
    </row>
    <row r="628" spans="2:2" ht="13" x14ac:dyDescent="0.15">
      <c r="B628" s="11"/>
    </row>
    <row r="629" spans="2:2" ht="13" x14ac:dyDescent="0.15">
      <c r="B629" s="11"/>
    </row>
    <row r="630" spans="2:2" ht="13" x14ac:dyDescent="0.15">
      <c r="B630" s="11"/>
    </row>
    <row r="631" spans="2:2" ht="13" x14ac:dyDescent="0.15">
      <c r="B631" s="11"/>
    </row>
    <row r="632" spans="2:2" ht="13" x14ac:dyDescent="0.15">
      <c r="B632" s="11"/>
    </row>
    <row r="633" spans="2:2" ht="13" x14ac:dyDescent="0.15">
      <c r="B633" s="11"/>
    </row>
    <row r="634" spans="2:2" ht="13" x14ac:dyDescent="0.15">
      <c r="B634" s="11"/>
    </row>
    <row r="635" spans="2:2" ht="13" x14ac:dyDescent="0.15">
      <c r="B635" s="11"/>
    </row>
    <row r="636" spans="2:2" ht="13" x14ac:dyDescent="0.15">
      <c r="B636" s="11"/>
    </row>
    <row r="637" spans="2:2" ht="13" x14ac:dyDescent="0.15">
      <c r="B637" s="11"/>
    </row>
    <row r="638" spans="2:2" ht="13" x14ac:dyDescent="0.15">
      <c r="B638" s="11"/>
    </row>
    <row r="639" spans="2:2" ht="13" x14ac:dyDescent="0.15">
      <c r="B639" s="11"/>
    </row>
    <row r="640" spans="2:2" ht="13" x14ac:dyDescent="0.15">
      <c r="B640" s="11"/>
    </row>
    <row r="641" spans="2:2" ht="13" x14ac:dyDescent="0.15">
      <c r="B641" s="11"/>
    </row>
    <row r="642" spans="2:2" ht="13" x14ac:dyDescent="0.15">
      <c r="B642" s="11"/>
    </row>
    <row r="643" spans="2:2" ht="13" x14ac:dyDescent="0.15">
      <c r="B643" s="11"/>
    </row>
    <row r="644" spans="2:2" ht="13" x14ac:dyDescent="0.15">
      <c r="B644" s="11"/>
    </row>
    <row r="645" spans="2:2" ht="13" x14ac:dyDescent="0.15">
      <c r="B645" s="11"/>
    </row>
    <row r="646" spans="2:2" ht="13" x14ac:dyDescent="0.15">
      <c r="B646" s="11"/>
    </row>
    <row r="647" spans="2:2" ht="13" x14ac:dyDescent="0.15">
      <c r="B647" s="11"/>
    </row>
    <row r="648" spans="2:2" ht="13" x14ac:dyDescent="0.15">
      <c r="B648" s="11"/>
    </row>
    <row r="649" spans="2:2" ht="13" x14ac:dyDescent="0.15">
      <c r="B649" s="11"/>
    </row>
    <row r="650" spans="2:2" ht="13" x14ac:dyDescent="0.15">
      <c r="B650" s="11"/>
    </row>
    <row r="651" spans="2:2" ht="13" x14ac:dyDescent="0.15">
      <c r="B651" s="11"/>
    </row>
    <row r="652" spans="2:2" ht="13" x14ac:dyDescent="0.15">
      <c r="B652" s="11"/>
    </row>
    <row r="653" spans="2:2" ht="13" x14ac:dyDescent="0.15">
      <c r="B653" s="11"/>
    </row>
    <row r="654" spans="2:2" ht="13" x14ac:dyDescent="0.15">
      <c r="B654" s="11"/>
    </row>
    <row r="655" spans="2:2" ht="13" x14ac:dyDescent="0.15">
      <c r="B655" s="11"/>
    </row>
    <row r="656" spans="2:2" ht="13" x14ac:dyDescent="0.15">
      <c r="B656" s="11"/>
    </row>
    <row r="657" spans="2:2" ht="13" x14ac:dyDescent="0.15">
      <c r="B657" s="11"/>
    </row>
    <row r="658" spans="2:2" ht="13" x14ac:dyDescent="0.15">
      <c r="B658" s="11"/>
    </row>
    <row r="659" spans="2:2" ht="13" x14ac:dyDescent="0.15">
      <c r="B659" s="11"/>
    </row>
    <row r="660" spans="2:2" ht="13" x14ac:dyDescent="0.15">
      <c r="B660" s="11"/>
    </row>
    <row r="661" spans="2:2" ht="13" x14ac:dyDescent="0.15">
      <c r="B661" s="11"/>
    </row>
    <row r="662" spans="2:2" ht="13" x14ac:dyDescent="0.15">
      <c r="B662" s="11"/>
    </row>
    <row r="663" spans="2:2" ht="13" x14ac:dyDescent="0.15">
      <c r="B663" s="11"/>
    </row>
    <row r="664" spans="2:2" ht="13" x14ac:dyDescent="0.15">
      <c r="B664" s="11"/>
    </row>
    <row r="665" spans="2:2" ht="13" x14ac:dyDescent="0.15">
      <c r="B665" s="11"/>
    </row>
    <row r="666" spans="2:2" ht="13" x14ac:dyDescent="0.15">
      <c r="B666" s="11"/>
    </row>
    <row r="667" spans="2:2" ht="13" x14ac:dyDescent="0.15">
      <c r="B667" s="11"/>
    </row>
    <row r="668" spans="2:2" ht="13" x14ac:dyDescent="0.15">
      <c r="B668" s="11"/>
    </row>
    <row r="669" spans="2:2" ht="13" x14ac:dyDescent="0.15">
      <c r="B669" s="11"/>
    </row>
    <row r="670" spans="2:2" ht="13" x14ac:dyDescent="0.15">
      <c r="B670" s="11"/>
    </row>
    <row r="671" spans="2:2" ht="13" x14ac:dyDescent="0.15">
      <c r="B671" s="11"/>
    </row>
    <row r="672" spans="2:2" ht="13" x14ac:dyDescent="0.15">
      <c r="B672" s="11"/>
    </row>
    <row r="673" spans="2:2" ht="13" x14ac:dyDescent="0.15">
      <c r="B673" s="11"/>
    </row>
    <row r="674" spans="2:2" ht="13" x14ac:dyDescent="0.15">
      <c r="B674" s="11"/>
    </row>
    <row r="675" spans="2:2" ht="13" x14ac:dyDescent="0.15">
      <c r="B675" s="11"/>
    </row>
    <row r="676" spans="2:2" ht="13" x14ac:dyDescent="0.15">
      <c r="B676" s="11"/>
    </row>
    <row r="677" spans="2:2" ht="13" x14ac:dyDescent="0.15">
      <c r="B677" s="11"/>
    </row>
    <row r="678" spans="2:2" ht="13" x14ac:dyDescent="0.15">
      <c r="B678" s="11"/>
    </row>
    <row r="679" spans="2:2" ht="13" x14ac:dyDescent="0.15">
      <c r="B679" s="11"/>
    </row>
    <row r="680" spans="2:2" ht="13" x14ac:dyDescent="0.15">
      <c r="B680" s="11"/>
    </row>
    <row r="681" spans="2:2" ht="13" x14ac:dyDescent="0.15">
      <c r="B681" s="11"/>
    </row>
    <row r="682" spans="2:2" ht="13" x14ac:dyDescent="0.15">
      <c r="B682" s="11"/>
    </row>
    <row r="683" spans="2:2" ht="13" x14ac:dyDescent="0.15">
      <c r="B683" s="11"/>
    </row>
    <row r="684" spans="2:2" ht="13" x14ac:dyDescent="0.15">
      <c r="B684" s="11"/>
    </row>
    <row r="685" spans="2:2" ht="13" x14ac:dyDescent="0.15">
      <c r="B685" s="11"/>
    </row>
    <row r="686" spans="2:2" ht="13" x14ac:dyDescent="0.15">
      <c r="B686" s="11"/>
    </row>
    <row r="687" spans="2:2" ht="13" x14ac:dyDescent="0.15">
      <c r="B687" s="11"/>
    </row>
    <row r="688" spans="2:2" ht="13" x14ac:dyDescent="0.15">
      <c r="B688" s="11"/>
    </row>
    <row r="689" spans="2:2" ht="13" x14ac:dyDescent="0.15">
      <c r="B689" s="11"/>
    </row>
    <row r="690" spans="2:2" ht="13" x14ac:dyDescent="0.15">
      <c r="B690" s="11"/>
    </row>
    <row r="691" spans="2:2" ht="13" x14ac:dyDescent="0.15">
      <c r="B691" s="11"/>
    </row>
    <row r="692" spans="2:2" ht="13" x14ac:dyDescent="0.15">
      <c r="B692" s="11"/>
    </row>
    <row r="693" spans="2:2" ht="13" x14ac:dyDescent="0.15">
      <c r="B693" s="11"/>
    </row>
    <row r="694" spans="2:2" ht="13" x14ac:dyDescent="0.15">
      <c r="B694" s="11"/>
    </row>
    <row r="695" spans="2:2" ht="13" x14ac:dyDescent="0.15">
      <c r="B695" s="11"/>
    </row>
    <row r="696" spans="2:2" ht="13" x14ac:dyDescent="0.15">
      <c r="B696" s="11"/>
    </row>
    <row r="697" spans="2:2" ht="13" x14ac:dyDescent="0.15">
      <c r="B697" s="11"/>
    </row>
    <row r="698" spans="2:2" ht="13" x14ac:dyDescent="0.15">
      <c r="B698" s="11"/>
    </row>
    <row r="699" spans="2:2" ht="13" x14ac:dyDescent="0.15">
      <c r="B699" s="11"/>
    </row>
    <row r="700" spans="2:2" ht="13" x14ac:dyDescent="0.15">
      <c r="B700" s="11"/>
    </row>
    <row r="701" spans="2:2" ht="13" x14ac:dyDescent="0.15">
      <c r="B701" s="11"/>
    </row>
    <row r="702" spans="2:2" ht="13" x14ac:dyDescent="0.15">
      <c r="B702" s="11"/>
    </row>
    <row r="703" spans="2:2" ht="13" x14ac:dyDescent="0.15">
      <c r="B703" s="11"/>
    </row>
    <row r="704" spans="2:2" ht="13" x14ac:dyDescent="0.15">
      <c r="B704" s="11"/>
    </row>
    <row r="705" spans="2:2" ht="13" x14ac:dyDescent="0.15">
      <c r="B705" s="11"/>
    </row>
    <row r="706" spans="2:2" ht="13" x14ac:dyDescent="0.15">
      <c r="B706" s="11"/>
    </row>
    <row r="707" spans="2:2" ht="13" x14ac:dyDescent="0.15">
      <c r="B707" s="11"/>
    </row>
    <row r="708" spans="2:2" ht="13" x14ac:dyDescent="0.15">
      <c r="B708" s="11"/>
    </row>
    <row r="709" spans="2:2" ht="13" x14ac:dyDescent="0.15">
      <c r="B709" s="11"/>
    </row>
    <row r="710" spans="2:2" ht="13" x14ac:dyDescent="0.15">
      <c r="B710" s="11"/>
    </row>
    <row r="711" spans="2:2" ht="13" x14ac:dyDescent="0.15">
      <c r="B711" s="11"/>
    </row>
    <row r="712" spans="2:2" ht="13" x14ac:dyDescent="0.15">
      <c r="B712" s="11"/>
    </row>
    <row r="713" spans="2:2" ht="13" x14ac:dyDescent="0.15">
      <c r="B713" s="11"/>
    </row>
    <row r="714" spans="2:2" ht="13" x14ac:dyDescent="0.15">
      <c r="B714" s="11"/>
    </row>
    <row r="715" spans="2:2" ht="13" x14ac:dyDescent="0.15">
      <c r="B715" s="11"/>
    </row>
    <row r="716" spans="2:2" ht="13" x14ac:dyDescent="0.15">
      <c r="B716" s="11"/>
    </row>
    <row r="717" spans="2:2" ht="13" x14ac:dyDescent="0.15">
      <c r="B717" s="11"/>
    </row>
    <row r="718" spans="2:2" ht="13" x14ac:dyDescent="0.15">
      <c r="B718" s="11"/>
    </row>
    <row r="719" spans="2:2" ht="13" x14ac:dyDescent="0.15">
      <c r="B719" s="11"/>
    </row>
    <row r="720" spans="2:2" ht="13" x14ac:dyDescent="0.15">
      <c r="B720" s="11"/>
    </row>
    <row r="721" spans="2:2" ht="13" x14ac:dyDescent="0.15">
      <c r="B721" s="11"/>
    </row>
    <row r="722" spans="2:2" ht="13" x14ac:dyDescent="0.15">
      <c r="B722" s="11"/>
    </row>
    <row r="723" spans="2:2" ht="13" x14ac:dyDescent="0.15">
      <c r="B723" s="11"/>
    </row>
    <row r="724" spans="2:2" ht="13" x14ac:dyDescent="0.15">
      <c r="B724" s="11"/>
    </row>
    <row r="725" spans="2:2" ht="13" x14ac:dyDescent="0.15">
      <c r="B725" s="11"/>
    </row>
    <row r="726" spans="2:2" ht="13" x14ac:dyDescent="0.15">
      <c r="B726" s="11"/>
    </row>
    <row r="727" spans="2:2" ht="13" x14ac:dyDescent="0.15">
      <c r="B727" s="11"/>
    </row>
    <row r="728" spans="2:2" ht="13" x14ac:dyDescent="0.15">
      <c r="B728" s="11"/>
    </row>
    <row r="729" spans="2:2" ht="13" x14ac:dyDescent="0.15">
      <c r="B729" s="11"/>
    </row>
    <row r="730" spans="2:2" ht="13" x14ac:dyDescent="0.15">
      <c r="B730" s="11"/>
    </row>
    <row r="731" spans="2:2" ht="13" x14ac:dyDescent="0.15">
      <c r="B731" s="11"/>
    </row>
    <row r="732" spans="2:2" ht="13" x14ac:dyDescent="0.15">
      <c r="B732" s="11"/>
    </row>
    <row r="733" spans="2:2" ht="13" x14ac:dyDescent="0.15">
      <c r="B733" s="11"/>
    </row>
    <row r="734" spans="2:2" ht="13" x14ac:dyDescent="0.15">
      <c r="B734" s="11"/>
    </row>
    <row r="735" spans="2:2" ht="13" x14ac:dyDescent="0.15">
      <c r="B735" s="11"/>
    </row>
    <row r="736" spans="2:2" ht="13" x14ac:dyDescent="0.15">
      <c r="B736" s="11"/>
    </row>
    <row r="737" spans="2:2" ht="13" x14ac:dyDescent="0.15">
      <c r="B737" s="11"/>
    </row>
    <row r="738" spans="2:2" ht="13" x14ac:dyDescent="0.15">
      <c r="B738" s="11"/>
    </row>
    <row r="739" spans="2:2" ht="13" x14ac:dyDescent="0.15">
      <c r="B739" s="11"/>
    </row>
    <row r="740" spans="2:2" ht="13" x14ac:dyDescent="0.15">
      <c r="B740" s="11"/>
    </row>
    <row r="741" spans="2:2" ht="13" x14ac:dyDescent="0.15">
      <c r="B741" s="11"/>
    </row>
    <row r="742" spans="2:2" ht="13" x14ac:dyDescent="0.15">
      <c r="B742" s="11"/>
    </row>
    <row r="743" spans="2:2" ht="13" x14ac:dyDescent="0.15">
      <c r="B743" s="11"/>
    </row>
    <row r="744" spans="2:2" ht="13" x14ac:dyDescent="0.15">
      <c r="B744" s="11"/>
    </row>
    <row r="745" spans="2:2" ht="13" x14ac:dyDescent="0.15">
      <c r="B745" s="11"/>
    </row>
    <row r="746" spans="2:2" ht="13" x14ac:dyDescent="0.15">
      <c r="B746" s="11"/>
    </row>
    <row r="747" spans="2:2" ht="13" x14ac:dyDescent="0.15">
      <c r="B747" s="11"/>
    </row>
    <row r="748" spans="2:2" ht="13" x14ac:dyDescent="0.15">
      <c r="B748" s="11"/>
    </row>
    <row r="749" spans="2:2" ht="13" x14ac:dyDescent="0.15">
      <c r="B749" s="11"/>
    </row>
    <row r="750" spans="2:2" ht="13" x14ac:dyDescent="0.15">
      <c r="B750" s="11"/>
    </row>
    <row r="751" spans="2:2" ht="13" x14ac:dyDescent="0.15">
      <c r="B751" s="11"/>
    </row>
    <row r="752" spans="2:2" ht="13" x14ac:dyDescent="0.15">
      <c r="B752" s="11"/>
    </row>
    <row r="753" spans="2:2" ht="13" x14ac:dyDescent="0.15">
      <c r="B753" s="11"/>
    </row>
    <row r="754" spans="2:2" ht="13" x14ac:dyDescent="0.15">
      <c r="B754" s="11"/>
    </row>
    <row r="755" spans="2:2" ht="13" x14ac:dyDescent="0.15">
      <c r="B755" s="11"/>
    </row>
    <row r="756" spans="2:2" ht="13" x14ac:dyDescent="0.15">
      <c r="B756" s="11"/>
    </row>
    <row r="757" spans="2:2" ht="13" x14ac:dyDescent="0.15">
      <c r="B757" s="11"/>
    </row>
    <row r="758" spans="2:2" ht="13" x14ac:dyDescent="0.15">
      <c r="B758" s="11"/>
    </row>
    <row r="759" spans="2:2" ht="13" x14ac:dyDescent="0.15">
      <c r="B759" s="11"/>
    </row>
    <row r="760" spans="2:2" ht="13" x14ac:dyDescent="0.15">
      <c r="B760" s="11"/>
    </row>
    <row r="761" spans="2:2" ht="13" x14ac:dyDescent="0.15">
      <c r="B761" s="11"/>
    </row>
    <row r="762" spans="2:2" ht="13" x14ac:dyDescent="0.15">
      <c r="B762" s="11"/>
    </row>
    <row r="763" spans="2:2" ht="13" x14ac:dyDescent="0.15">
      <c r="B763" s="11"/>
    </row>
    <row r="764" spans="2:2" ht="13" x14ac:dyDescent="0.15">
      <c r="B764" s="11"/>
    </row>
    <row r="765" spans="2:2" ht="13" x14ac:dyDescent="0.15">
      <c r="B765" s="11"/>
    </row>
    <row r="766" spans="2:2" ht="13" x14ac:dyDescent="0.15">
      <c r="B766" s="11"/>
    </row>
    <row r="767" spans="2:2" ht="13" x14ac:dyDescent="0.15">
      <c r="B767" s="11"/>
    </row>
    <row r="768" spans="2:2" ht="13" x14ac:dyDescent="0.15">
      <c r="B768" s="11"/>
    </row>
    <row r="769" spans="2:2" ht="13" x14ac:dyDescent="0.15">
      <c r="B769" s="11"/>
    </row>
    <row r="770" spans="2:2" ht="13" x14ac:dyDescent="0.15">
      <c r="B770" s="11"/>
    </row>
    <row r="771" spans="2:2" ht="13" x14ac:dyDescent="0.15">
      <c r="B771" s="11"/>
    </row>
    <row r="772" spans="2:2" ht="13" x14ac:dyDescent="0.15">
      <c r="B772" s="11"/>
    </row>
    <row r="773" spans="2:2" ht="13" x14ac:dyDescent="0.15">
      <c r="B773" s="11"/>
    </row>
    <row r="774" spans="2:2" ht="13" x14ac:dyDescent="0.15">
      <c r="B774" s="11"/>
    </row>
    <row r="775" spans="2:2" ht="13" x14ac:dyDescent="0.15">
      <c r="B775" s="11"/>
    </row>
    <row r="776" spans="2:2" ht="13" x14ac:dyDescent="0.15">
      <c r="B776" s="11"/>
    </row>
    <row r="777" spans="2:2" ht="13" x14ac:dyDescent="0.15">
      <c r="B777" s="11"/>
    </row>
    <row r="778" spans="2:2" ht="13" x14ac:dyDescent="0.15">
      <c r="B778" s="11"/>
    </row>
    <row r="779" spans="2:2" ht="13" x14ac:dyDescent="0.15">
      <c r="B779" s="11"/>
    </row>
    <row r="780" spans="2:2" ht="13" x14ac:dyDescent="0.15">
      <c r="B780" s="11"/>
    </row>
    <row r="781" spans="2:2" ht="13" x14ac:dyDescent="0.15">
      <c r="B781" s="11"/>
    </row>
    <row r="782" spans="2:2" ht="13" x14ac:dyDescent="0.15">
      <c r="B782" s="11"/>
    </row>
    <row r="783" spans="2:2" ht="13" x14ac:dyDescent="0.15">
      <c r="B783" s="11"/>
    </row>
    <row r="784" spans="2:2" ht="13" x14ac:dyDescent="0.15">
      <c r="B784" s="11"/>
    </row>
    <row r="785" spans="2:2" ht="13" x14ac:dyDescent="0.15">
      <c r="B785" s="11"/>
    </row>
    <row r="786" spans="2:2" ht="13" x14ac:dyDescent="0.15">
      <c r="B786" s="11"/>
    </row>
    <row r="787" spans="2:2" ht="13" x14ac:dyDescent="0.15">
      <c r="B787" s="11"/>
    </row>
    <row r="788" spans="2:2" ht="13" x14ac:dyDescent="0.15">
      <c r="B788" s="11"/>
    </row>
    <row r="789" spans="2:2" ht="13" x14ac:dyDescent="0.15">
      <c r="B789" s="11"/>
    </row>
    <row r="790" spans="2:2" ht="13" x14ac:dyDescent="0.15">
      <c r="B790" s="11"/>
    </row>
    <row r="791" spans="2:2" ht="13" x14ac:dyDescent="0.15">
      <c r="B791" s="11"/>
    </row>
    <row r="792" spans="2:2" ht="13" x14ac:dyDescent="0.15">
      <c r="B792" s="11"/>
    </row>
    <row r="793" spans="2:2" ht="13" x14ac:dyDescent="0.15">
      <c r="B793" s="11"/>
    </row>
    <row r="794" spans="2:2" ht="13" x14ac:dyDescent="0.15">
      <c r="B794" s="11"/>
    </row>
    <row r="795" spans="2:2" ht="13" x14ac:dyDescent="0.15">
      <c r="B795" s="11"/>
    </row>
    <row r="796" spans="2:2" ht="13" x14ac:dyDescent="0.15">
      <c r="B796" s="11"/>
    </row>
    <row r="797" spans="2:2" ht="13" x14ac:dyDescent="0.15">
      <c r="B797" s="11"/>
    </row>
    <row r="798" spans="2:2" ht="13" x14ac:dyDescent="0.15">
      <c r="B798" s="11"/>
    </row>
    <row r="799" spans="2:2" ht="13" x14ac:dyDescent="0.15">
      <c r="B799" s="11"/>
    </row>
    <row r="800" spans="2:2" ht="13" x14ac:dyDescent="0.15">
      <c r="B800" s="11"/>
    </row>
    <row r="801" spans="2:2" ht="13" x14ac:dyDescent="0.15">
      <c r="B801" s="11"/>
    </row>
    <row r="802" spans="2:2" ht="13" x14ac:dyDescent="0.15">
      <c r="B802" s="11"/>
    </row>
    <row r="803" spans="2:2" ht="13" x14ac:dyDescent="0.15">
      <c r="B803" s="11"/>
    </row>
    <row r="804" spans="2:2" ht="13" x14ac:dyDescent="0.15">
      <c r="B804" s="11"/>
    </row>
    <row r="805" spans="2:2" ht="13" x14ac:dyDescent="0.15">
      <c r="B805" s="11"/>
    </row>
    <row r="806" spans="2:2" ht="13" x14ac:dyDescent="0.15">
      <c r="B806" s="11"/>
    </row>
    <row r="807" spans="2:2" ht="13" x14ac:dyDescent="0.15">
      <c r="B807" s="11"/>
    </row>
    <row r="808" spans="2:2" ht="13" x14ac:dyDescent="0.15">
      <c r="B808" s="11"/>
    </row>
    <row r="809" spans="2:2" ht="13" x14ac:dyDescent="0.15">
      <c r="B809" s="11"/>
    </row>
    <row r="810" spans="2:2" ht="13" x14ac:dyDescent="0.15">
      <c r="B810" s="11"/>
    </row>
    <row r="811" spans="2:2" ht="13" x14ac:dyDescent="0.15">
      <c r="B811" s="11"/>
    </row>
    <row r="812" spans="2:2" ht="13" x14ac:dyDescent="0.15">
      <c r="B812" s="11"/>
    </row>
    <row r="813" spans="2:2" ht="13" x14ac:dyDescent="0.15">
      <c r="B813" s="11"/>
    </row>
    <row r="814" spans="2:2" ht="13" x14ac:dyDescent="0.15">
      <c r="B814" s="11"/>
    </row>
    <row r="815" spans="2:2" ht="13" x14ac:dyDescent="0.15">
      <c r="B815" s="11"/>
    </row>
    <row r="816" spans="2:2" ht="13" x14ac:dyDescent="0.15">
      <c r="B816" s="11"/>
    </row>
    <row r="817" spans="2:2" ht="13" x14ac:dyDescent="0.15">
      <c r="B817" s="11"/>
    </row>
    <row r="818" spans="2:2" ht="13" x14ac:dyDescent="0.15">
      <c r="B818" s="11"/>
    </row>
    <row r="819" spans="2:2" ht="13" x14ac:dyDescent="0.15">
      <c r="B819" s="11"/>
    </row>
    <row r="820" spans="2:2" ht="13" x14ac:dyDescent="0.15">
      <c r="B820" s="11"/>
    </row>
    <row r="821" spans="2:2" ht="13" x14ac:dyDescent="0.15">
      <c r="B821" s="11"/>
    </row>
    <row r="822" spans="2:2" ht="13" x14ac:dyDescent="0.15">
      <c r="B822" s="11"/>
    </row>
    <row r="823" spans="2:2" ht="13" x14ac:dyDescent="0.15">
      <c r="B823" s="11"/>
    </row>
    <row r="824" spans="2:2" ht="13" x14ac:dyDescent="0.15">
      <c r="B824" s="11"/>
    </row>
    <row r="825" spans="2:2" ht="13" x14ac:dyDescent="0.15">
      <c r="B825" s="11"/>
    </row>
    <row r="826" spans="2:2" ht="13" x14ac:dyDescent="0.15">
      <c r="B826" s="11"/>
    </row>
    <row r="827" spans="2:2" ht="13" x14ac:dyDescent="0.15">
      <c r="B827" s="11"/>
    </row>
    <row r="828" spans="2:2" ht="13" x14ac:dyDescent="0.15">
      <c r="B828" s="11"/>
    </row>
    <row r="829" spans="2:2" ht="13" x14ac:dyDescent="0.15">
      <c r="B829" s="11"/>
    </row>
    <row r="830" spans="2:2" ht="13" x14ac:dyDescent="0.15">
      <c r="B830" s="11"/>
    </row>
    <row r="831" spans="2:2" ht="13" x14ac:dyDescent="0.15">
      <c r="B831" s="11"/>
    </row>
    <row r="832" spans="2:2" ht="13" x14ac:dyDescent="0.15">
      <c r="B832" s="11"/>
    </row>
    <row r="833" spans="2:2" ht="13" x14ac:dyDescent="0.15">
      <c r="B833" s="11"/>
    </row>
    <row r="834" spans="2:2" ht="13" x14ac:dyDescent="0.15">
      <c r="B834" s="11"/>
    </row>
    <row r="835" spans="2:2" ht="13" x14ac:dyDescent="0.15">
      <c r="B835" s="11"/>
    </row>
    <row r="836" spans="2:2" ht="13" x14ac:dyDescent="0.15">
      <c r="B836" s="11"/>
    </row>
    <row r="837" spans="2:2" ht="13" x14ac:dyDescent="0.15">
      <c r="B837" s="11"/>
    </row>
    <row r="838" spans="2:2" ht="13" x14ac:dyDescent="0.15">
      <c r="B838" s="11"/>
    </row>
    <row r="839" spans="2:2" ht="13" x14ac:dyDescent="0.15">
      <c r="B839" s="11"/>
    </row>
    <row r="840" spans="2:2" ht="13" x14ac:dyDescent="0.15">
      <c r="B840" s="11"/>
    </row>
    <row r="841" spans="2:2" ht="13" x14ac:dyDescent="0.15">
      <c r="B841" s="11"/>
    </row>
    <row r="842" spans="2:2" ht="13" x14ac:dyDescent="0.15">
      <c r="B842" s="11"/>
    </row>
    <row r="843" spans="2:2" ht="13" x14ac:dyDescent="0.15">
      <c r="B843" s="11"/>
    </row>
    <row r="844" spans="2:2" ht="13" x14ac:dyDescent="0.15">
      <c r="B844" s="11"/>
    </row>
    <row r="845" spans="2:2" ht="13" x14ac:dyDescent="0.15">
      <c r="B845" s="11"/>
    </row>
    <row r="846" spans="2:2" ht="13" x14ac:dyDescent="0.15">
      <c r="B846" s="11"/>
    </row>
    <row r="847" spans="2:2" ht="13" x14ac:dyDescent="0.15">
      <c r="B847" s="11"/>
    </row>
    <row r="848" spans="2:2" ht="13" x14ac:dyDescent="0.15">
      <c r="B848" s="11"/>
    </row>
    <row r="849" spans="2:2" ht="13" x14ac:dyDescent="0.15">
      <c r="B849" s="11"/>
    </row>
    <row r="850" spans="2:2" ht="13" x14ac:dyDescent="0.15">
      <c r="B850" s="11"/>
    </row>
    <row r="851" spans="2:2" ht="13" x14ac:dyDescent="0.15">
      <c r="B851" s="11"/>
    </row>
    <row r="852" spans="2:2" ht="13" x14ac:dyDescent="0.15">
      <c r="B852" s="11"/>
    </row>
    <row r="853" spans="2:2" ht="13" x14ac:dyDescent="0.15">
      <c r="B853" s="11"/>
    </row>
    <row r="854" spans="2:2" ht="13" x14ac:dyDescent="0.15">
      <c r="B854" s="11"/>
    </row>
    <row r="855" spans="2:2" ht="13" x14ac:dyDescent="0.15">
      <c r="B855" s="11"/>
    </row>
    <row r="856" spans="2:2" ht="13" x14ac:dyDescent="0.15">
      <c r="B856" s="11"/>
    </row>
    <row r="857" spans="2:2" ht="13" x14ac:dyDescent="0.15">
      <c r="B857" s="11"/>
    </row>
    <row r="858" spans="2:2" ht="13" x14ac:dyDescent="0.15">
      <c r="B858" s="11"/>
    </row>
    <row r="859" spans="2:2" ht="13" x14ac:dyDescent="0.15">
      <c r="B859" s="11"/>
    </row>
    <row r="860" spans="2:2" ht="13" x14ac:dyDescent="0.15">
      <c r="B860" s="11"/>
    </row>
    <row r="861" spans="2:2" ht="13" x14ac:dyDescent="0.15">
      <c r="B861" s="11"/>
    </row>
    <row r="862" spans="2:2" ht="13" x14ac:dyDescent="0.15">
      <c r="B862" s="11"/>
    </row>
    <row r="863" spans="2:2" ht="13" x14ac:dyDescent="0.15">
      <c r="B863" s="11"/>
    </row>
    <row r="864" spans="2:2" ht="13" x14ac:dyDescent="0.15">
      <c r="B864" s="11"/>
    </row>
    <row r="865" spans="2:2" ht="13" x14ac:dyDescent="0.15">
      <c r="B865" s="11"/>
    </row>
    <row r="866" spans="2:2" ht="13" x14ac:dyDescent="0.15">
      <c r="B866" s="11"/>
    </row>
    <row r="867" spans="2:2" ht="13" x14ac:dyDescent="0.15">
      <c r="B867" s="11"/>
    </row>
    <row r="868" spans="2:2" ht="13" x14ac:dyDescent="0.15">
      <c r="B868" s="11"/>
    </row>
    <row r="869" spans="2:2" ht="13" x14ac:dyDescent="0.15">
      <c r="B869" s="11"/>
    </row>
    <row r="870" spans="2:2" ht="13" x14ac:dyDescent="0.15">
      <c r="B870" s="11"/>
    </row>
    <row r="871" spans="2:2" ht="13" x14ac:dyDescent="0.15">
      <c r="B871" s="11"/>
    </row>
    <row r="872" spans="2:2" ht="13" x14ac:dyDescent="0.15">
      <c r="B872" s="11"/>
    </row>
    <row r="873" spans="2:2" ht="13" x14ac:dyDescent="0.15">
      <c r="B873" s="11"/>
    </row>
    <row r="874" spans="2:2" ht="13" x14ac:dyDescent="0.15">
      <c r="B874" s="11"/>
    </row>
    <row r="875" spans="2:2" ht="13" x14ac:dyDescent="0.15">
      <c r="B875" s="11"/>
    </row>
    <row r="876" spans="2:2" ht="13" x14ac:dyDescent="0.15">
      <c r="B876" s="11"/>
    </row>
    <row r="877" spans="2:2" ht="13" x14ac:dyDescent="0.15">
      <c r="B877" s="11"/>
    </row>
    <row r="878" spans="2:2" ht="13" x14ac:dyDescent="0.15">
      <c r="B878" s="11"/>
    </row>
    <row r="879" spans="2:2" ht="13" x14ac:dyDescent="0.15">
      <c r="B879" s="11"/>
    </row>
    <row r="880" spans="2:2" ht="13" x14ac:dyDescent="0.15">
      <c r="B880" s="11"/>
    </row>
    <row r="881" spans="2:2" ht="13" x14ac:dyDescent="0.15">
      <c r="B881" s="11"/>
    </row>
    <row r="882" spans="2:2" ht="13" x14ac:dyDescent="0.15">
      <c r="B882" s="11"/>
    </row>
    <row r="883" spans="2:2" ht="13" x14ac:dyDescent="0.15">
      <c r="B883" s="11"/>
    </row>
    <row r="884" spans="2:2" ht="13" x14ac:dyDescent="0.15">
      <c r="B884" s="11"/>
    </row>
    <row r="885" spans="2:2" ht="13" x14ac:dyDescent="0.15">
      <c r="B885" s="11"/>
    </row>
    <row r="886" spans="2:2" ht="13" x14ac:dyDescent="0.15">
      <c r="B886" s="11"/>
    </row>
    <row r="887" spans="2:2" ht="13" x14ac:dyDescent="0.15">
      <c r="B887" s="11"/>
    </row>
    <row r="888" spans="2:2" ht="13" x14ac:dyDescent="0.15">
      <c r="B888" s="11"/>
    </row>
    <row r="889" spans="2:2" ht="13" x14ac:dyDescent="0.15">
      <c r="B889" s="11"/>
    </row>
    <row r="890" spans="2:2" ht="13" x14ac:dyDescent="0.15">
      <c r="B890" s="11"/>
    </row>
    <row r="891" spans="2:2" ht="13" x14ac:dyDescent="0.15">
      <c r="B891" s="11"/>
    </row>
    <row r="892" spans="2:2" ht="13" x14ac:dyDescent="0.15">
      <c r="B892" s="11"/>
    </row>
    <row r="893" spans="2:2" ht="13" x14ac:dyDescent="0.15">
      <c r="B893" s="11"/>
    </row>
    <row r="894" spans="2:2" ht="13" x14ac:dyDescent="0.15">
      <c r="B894" s="11"/>
    </row>
    <row r="895" spans="2:2" ht="13" x14ac:dyDescent="0.15">
      <c r="B895" s="11"/>
    </row>
    <row r="896" spans="2:2" ht="13" x14ac:dyDescent="0.15">
      <c r="B896" s="11"/>
    </row>
    <row r="897" spans="2:2" ht="13" x14ac:dyDescent="0.15">
      <c r="B897" s="11"/>
    </row>
    <row r="898" spans="2:2" ht="13" x14ac:dyDescent="0.15">
      <c r="B898" s="11"/>
    </row>
    <row r="899" spans="2:2" ht="13" x14ac:dyDescent="0.15">
      <c r="B899" s="11"/>
    </row>
    <row r="900" spans="2:2" ht="13" x14ac:dyDescent="0.15">
      <c r="B900" s="11"/>
    </row>
    <row r="901" spans="2:2" ht="13" x14ac:dyDescent="0.15">
      <c r="B901" s="11"/>
    </row>
    <row r="902" spans="2:2" ht="13" x14ac:dyDescent="0.15">
      <c r="B902" s="11"/>
    </row>
    <row r="903" spans="2:2" ht="13" x14ac:dyDescent="0.15">
      <c r="B903" s="11"/>
    </row>
    <row r="904" spans="2:2" ht="13" x14ac:dyDescent="0.15">
      <c r="B904" s="11"/>
    </row>
    <row r="905" spans="2:2" ht="13" x14ac:dyDescent="0.15">
      <c r="B905" s="11"/>
    </row>
    <row r="906" spans="2:2" ht="13" x14ac:dyDescent="0.15">
      <c r="B906" s="11"/>
    </row>
    <row r="907" spans="2:2" ht="13" x14ac:dyDescent="0.15">
      <c r="B907" s="11"/>
    </row>
    <row r="908" spans="2:2" ht="13" x14ac:dyDescent="0.15">
      <c r="B908" s="11"/>
    </row>
    <row r="909" spans="2:2" ht="13" x14ac:dyDescent="0.15">
      <c r="B909" s="11"/>
    </row>
    <row r="910" spans="2:2" ht="13" x14ac:dyDescent="0.15">
      <c r="B910" s="11"/>
    </row>
    <row r="911" spans="2:2" ht="13" x14ac:dyDescent="0.15">
      <c r="B911" s="11"/>
    </row>
    <row r="912" spans="2:2" ht="13" x14ac:dyDescent="0.15">
      <c r="B912" s="11"/>
    </row>
    <row r="913" spans="2:2" ht="13" x14ac:dyDescent="0.15">
      <c r="B913" s="11"/>
    </row>
    <row r="914" spans="2:2" ht="13" x14ac:dyDescent="0.15">
      <c r="B914" s="11"/>
    </row>
    <row r="915" spans="2:2" ht="13" x14ac:dyDescent="0.15">
      <c r="B915" s="11"/>
    </row>
    <row r="916" spans="2:2" ht="13" x14ac:dyDescent="0.15">
      <c r="B916" s="11"/>
    </row>
    <row r="917" spans="2:2" ht="13" x14ac:dyDescent="0.15">
      <c r="B917" s="11"/>
    </row>
    <row r="918" spans="2:2" ht="13" x14ac:dyDescent="0.15">
      <c r="B918" s="11"/>
    </row>
    <row r="919" spans="2:2" ht="13" x14ac:dyDescent="0.15">
      <c r="B919" s="11"/>
    </row>
    <row r="920" spans="2:2" ht="13" x14ac:dyDescent="0.15">
      <c r="B920" s="11"/>
    </row>
    <row r="921" spans="2:2" ht="13" x14ac:dyDescent="0.15">
      <c r="B921" s="11"/>
    </row>
    <row r="922" spans="2:2" ht="13" x14ac:dyDescent="0.15">
      <c r="B922" s="11"/>
    </row>
    <row r="923" spans="2:2" ht="13" x14ac:dyDescent="0.15">
      <c r="B923" s="11"/>
    </row>
    <row r="924" spans="2:2" ht="13" x14ac:dyDescent="0.15">
      <c r="B924" s="11"/>
    </row>
    <row r="925" spans="2:2" ht="13" x14ac:dyDescent="0.15">
      <c r="B925" s="11"/>
    </row>
    <row r="926" spans="2:2" ht="13" x14ac:dyDescent="0.15">
      <c r="B926" s="11"/>
    </row>
    <row r="927" spans="2:2" ht="13" x14ac:dyDescent="0.15">
      <c r="B927" s="11"/>
    </row>
    <row r="928" spans="2:2" ht="13" x14ac:dyDescent="0.15">
      <c r="B928" s="11"/>
    </row>
    <row r="929" spans="2:2" ht="13" x14ac:dyDescent="0.15">
      <c r="B929" s="11"/>
    </row>
    <row r="930" spans="2:2" ht="13" x14ac:dyDescent="0.15">
      <c r="B930" s="11"/>
    </row>
    <row r="931" spans="2:2" ht="13" x14ac:dyDescent="0.15">
      <c r="B931" s="11"/>
    </row>
    <row r="932" spans="2:2" ht="13" x14ac:dyDescent="0.15">
      <c r="B932" s="11"/>
    </row>
    <row r="933" spans="2:2" ht="13" x14ac:dyDescent="0.15">
      <c r="B933" s="11"/>
    </row>
    <row r="934" spans="2:2" ht="13" x14ac:dyDescent="0.15">
      <c r="B934" s="11"/>
    </row>
    <row r="935" spans="2:2" ht="13" x14ac:dyDescent="0.15">
      <c r="B935" s="11"/>
    </row>
    <row r="936" spans="2:2" ht="13" x14ac:dyDescent="0.15">
      <c r="B936" s="11"/>
    </row>
    <row r="937" spans="2:2" ht="13" x14ac:dyDescent="0.15">
      <c r="B937" s="11"/>
    </row>
    <row r="938" spans="2:2" ht="13" x14ac:dyDescent="0.15">
      <c r="B938" s="11"/>
    </row>
    <row r="939" spans="2:2" ht="13" x14ac:dyDescent="0.15">
      <c r="B939" s="11"/>
    </row>
    <row r="940" spans="2:2" ht="13" x14ac:dyDescent="0.15">
      <c r="B940" s="11"/>
    </row>
    <row r="941" spans="2:2" ht="13" x14ac:dyDescent="0.15">
      <c r="B941" s="11"/>
    </row>
    <row r="942" spans="2:2" ht="13" x14ac:dyDescent="0.15">
      <c r="B942" s="11"/>
    </row>
    <row r="943" spans="2:2" ht="13" x14ac:dyDescent="0.15">
      <c r="B943" s="11"/>
    </row>
    <row r="944" spans="2:2" ht="13" x14ac:dyDescent="0.15">
      <c r="B944" s="11"/>
    </row>
    <row r="945" spans="2:2" ht="13" x14ac:dyDescent="0.15">
      <c r="B945" s="11"/>
    </row>
    <row r="946" spans="2:2" ht="13" x14ac:dyDescent="0.15">
      <c r="B946" s="11"/>
    </row>
    <row r="947" spans="2:2" ht="13" x14ac:dyDescent="0.15">
      <c r="B947" s="11"/>
    </row>
    <row r="948" spans="2:2" ht="13" x14ac:dyDescent="0.15">
      <c r="B948" s="11"/>
    </row>
    <row r="949" spans="2:2" ht="13" x14ac:dyDescent="0.15">
      <c r="B949" s="11"/>
    </row>
    <row r="950" spans="2:2" ht="13" x14ac:dyDescent="0.15">
      <c r="B950" s="11"/>
    </row>
    <row r="951" spans="2:2" ht="13" x14ac:dyDescent="0.15">
      <c r="B951" s="11"/>
    </row>
    <row r="952" spans="2:2" ht="13" x14ac:dyDescent="0.15">
      <c r="B952" s="11"/>
    </row>
    <row r="953" spans="2:2" ht="13" x14ac:dyDescent="0.15">
      <c r="B953" s="11"/>
    </row>
    <row r="954" spans="2:2" ht="13" x14ac:dyDescent="0.15">
      <c r="B954" s="11"/>
    </row>
    <row r="955" spans="2:2" ht="13" x14ac:dyDescent="0.15">
      <c r="B955" s="11"/>
    </row>
    <row r="956" spans="2:2" ht="13" x14ac:dyDescent="0.15">
      <c r="B956" s="11"/>
    </row>
    <row r="957" spans="2:2" ht="13" x14ac:dyDescent="0.15">
      <c r="B957" s="11"/>
    </row>
    <row r="958" spans="2:2" ht="13" x14ac:dyDescent="0.15">
      <c r="B958" s="11"/>
    </row>
    <row r="959" spans="2:2" ht="13" x14ac:dyDescent="0.15">
      <c r="B959" s="11"/>
    </row>
    <row r="960" spans="2:2" ht="13" x14ac:dyDescent="0.15">
      <c r="B960" s="11"/>
    </row>
    <row r="961" spans="2:2" ht="13" x14ac:dyDescent="0.15">
      <c r="B961" s="11"/>
    </row>
    <row r="962" spans="2:2" ht="13" x14ac:dyDescent="0.15">
      <c r="B962" s="11"/>
    </row>
    <row r="963" spans="2:2" ht="13" x14ac:dyDescent="0.15">
      <c r="B963" s="11"/>
    </row>
    <row r="964" spans="2:2" ht="13" x14ac:dyDescent="0.15">
      <c r="B964" s="11"/>
    </row>
    <row r="965" spans="2:2" ht="13" x14ac:dyDescent="0.15">
      <c r="B965" s="11"/>
    </row>
    <row r="966" spans="2:2" ht="13" x14ac:dyDescent="0.15">
      <c r="B966" s="11"/>
    </row>
    <row r="967" spans="2:2" ht="13" x14ac:dyDescent="0.15">
      <c r="B967" s="11"/>
    </row>
    <row r="968" spans="2:2" ht="13" x14ac:dyDescent="0.15">
      <c r="B968" s="11"/>
    </row>
    <row r="969" spans="2:2" ht="13" x14ac:dyDescent="0.15">
      <c r="B969" s="11"/>
    </row>
    <row r="970" spans="2:2" ht="13" x14ac:dyDescent="0.15">
      <c r="B970" s="11"/>
    </row>
    <row r="971" spans="2:2" ht="13" x14ac:dyDescent="0.15">
      <c r="B971" s="11"/>
    </row>
    <row r="972" spans="2:2" ht="13" x14ac:dyDescent="0.15">
      <c r="B972" s="11"/>
    </row>
    <row r="973" spans="2:2" ht="13" x14ac:dyDescent="0.15">
      <c r="B973" s="11"/>
    </row>
    <row r="974" spans="2:2" ht="13" x14ac:dyDescent="0.15">
      <c r="B974" s="11"/>
    </row>
    <row r="975" spans="2:2" ht="13" x14ac:dyDescent="0.15">
      <c r="B975" s="11"/>
    </row>
    <row r="976" spans="2:2" ht="13" x14ac:dyDescent="0.15">
      <c r="B976" s="11"/>
    </row>
    <row r="977" spans="2:2" ht="13" x14ac:dyDescent="0.15">
      <c r="B977" s="11"/>
    </row>
    <row r="978" spans="2:2" ht="13" x14ac:dyDescent="0.15">
      <c r="B978" s="11"/>
    </row>
    <row r="979" spans="2:2" ht="13" x14ac:dyDescent="0.15">
      <c r="B979" s="11"/>
    </row>
    <row r="980" spans="2:2" ht="13" x14ac:dyDescent="0.15">
      <c r="B980" s="11"/>
    </row>
    <row r="981" spans="2:2" ht="13" x14ac:dyDescent="0.15">
      <c r="B981" s="11"/>
    </row>
    <row r="982" spans="2:2" ht="13" x14ac:dyDescent="0.15">
      <c r="B982" s="11"/>
    </row>
    <row r="983" spans="2:2" ht="13" x14ac:dyDescent="0.15">
      <c r="B983" s="11"/>
    </row>
    <row r="984" spans="2:2" ht="13" x14ac:dyDescent="0.15">
      <c r="B984" s="11"/>
    </row>
    <row r="985" spans="2:2" ht="13" x14ac:dyDescent="0.15">
      <c r="B985" s="11"/>
    </row>
    <row r="986" spans="2:2" ht="13" x14ac:dyDescent="0.15">
      <c r="B986" s="11"/>
    </row>
    <row r="987" spans="2:2" ht="13" x14ac:dyDescent="0.15">
      <c r="B987" s="11"/>
    </row>
    <row r="988" spans="2:2" ht="13" x14ac:dyDescent="0.15">
      <c r="B988" s="11"/>
    </row>
    <row r="989" spans="2:2" ht="13" x14ac:dyDescent="0.15">
      <c r="B989" s="11"/>
    </row>
    <row r="990" spans="2:2" ht="13" x14ac:dyDescent="0.15">
      <c r="B990" s="11"/>
    </row>
    <row r="991" spans="2:2" ht="13" x14ac:dyDescent="0.15">
      <c r="B991" s="11"/>
    </row>
    <row r="992" spans="2:2" ht="13" x14ac:dyDescent="0.15">
      <c r="B992" s="11"/>
    </row>
    <row r="993" spans="2:2" ht="13" x14ac:dyDescent="0.15">
      <c r="B993" s="11"/>
    </row>
    <row r="994" spans="2:2" ht="13" x14ac:dyDescent="0.15">
      <c r="B994" s="11"/>
    </row>
    <row r="995" spans="2:2" ht="13" x14ac:dyDescent="0.15">
      <c r="B995" s="11"/>
    </row>
    <row r="996" spans="2:2" ht="13" x14ac:dyDescent="0.15">
      <c r="B996" s="11"/>
    </row>
    <row r="997" spans="2:2" ht="13" x14ac:dyDescent="0.15">
      <c r="B997" s="11"/>
    </row>
    <row r="998" spans="2:2" ht="13" x14ac:dyDescent="0.15">
      <c r="B998" s="11"/>
    </row>
    <row r="999" spans="2:2" ht="13" x14ac:dyDescent="0.15">
      <c r="B999" s="11"/>
    </row>
    <row r="1000" spans="2:2" ht="13" x14ac:dyDescent="0.15">
      <c r="B1000" s="11"/>
    </row>
    <row r="1001" spans="2:2" ht="13" x14ac:dyDescent="0.15">
      <c r="B1001" s="11"/>
    </row>
  </sheetData>
  <mergeCells count="5">
    <mergeCell ref="F1:G1"/>
    <mergeCell ref="H1:I1"/>
    <mergeCell ref="J1:K1"/>
    <mergeCell ref="L1:M1"/>
    <mergeCell ref="N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2025</vt:lpstr>
      <vt:lpstr>clean_weekly_data</vt:lpstr>
      <vt:lpstr>clean_monthly_summary</vt:lpstr>
      <vt:lpstr>daily_sales_helper</vt:lpstr>
      <vt:lpstr>dashboard</vt:lpstr>
      <vt:lpstr>analaysis_summary</vt:lpstr>
      <vt:lpstr>Weekly 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Mookie Lee</dc:creator>
  <cp:lastModifiedBy>Nnaemeka Ndubuisi</cp:lastModifiedBy>
  <dcterms:created xsi:type="dcterms:W3CDTF">2026-03-14T17:39:41Z</dcterms:created>
  <dcterms:modified xsi:type="dcterms:W3CDTF">2026-03-28T14:08:03Z</dcterms:modified>
</cp:coreProperties>
</file>